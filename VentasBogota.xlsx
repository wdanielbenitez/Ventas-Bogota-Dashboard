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Daniel\Documents\Proyecto1Excel\"/>
    </mc:Choice>
  </mc:AlternateContent>
  <xr:revisionPtr revIDLastSave="0" documentId="13_ncr:1_{3F545B30-82D8-4579-A3CA-17205BE1CDE5}" xr6:coauthVersionLast="47" xr6:coauthVersionMax="47" xr10:uidLastSave="{00000000-0000-0000-0000-000000000000}"/>
  <bookViews>
    <workbookView xWindow="-120" yWindow="-120" windowWidth="29040" windowHeight="15720" xr2:uid="{9A2DB1BD-DC07-4580-A8CE-5931C77185AE}"/>
  </bookViews>
  <sheets>
    <sheet name="Data" sheetId="1" r:id="rId1"/>
    <sheet name="Tablas Dinamicas" sheetId="2" r:id="rId2"/>
    <sheet name="Dashboard" sheetId="4" r:id="rId3"/>
  </sheets>
  <definedNames>
    <definedName name="SegmentaciónDeDatos_Año">#N/A</definedName>
    <definedName name="SegmentaciónDeDatos_Canal">#N/A</definedName>
    <definedName name="SegmentaciónDeDatos_Localidad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J23" i="2"/>
  <c r="J44" i="2" a="1"/>
  <c r="J44" i="2" s="1"/>
  <c r="J43" i="2" a="1"/>
  <c r="J43" i="2" s="1"/>
  <c r="L18" i="4" s="1"/>
  <c r="J22" i="2"/>
  <c r="BG10" i="4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J43" i="1"/>
  <c r="J308" i="1"/>
  <c r="J270" i="1"/>
  <c r="J354" i="1"/>
  <c r="J66" i="1"/>
  <c r="J380" i="1"/>
  <c r="J220" i="1"/>
  <c r="J283" i="1"/>
  <c r="J321" i="1"/>
  <c r="J25" i="1"/>
  <c r="J355" i="1"/>
  <c r="J328" i="1"/>
  <c r="J213" i="1"/>
  <c r="J375" i="1"/>
  <c r="J165" i="1"/>
  <c r="J143" i="1"/>
  <c r="J192" i="1"/>
  <c r="J84" i="1"/>
  <c r="J349" i="1"/>
  <c r="J239" i="1"/>
  <c r="J317" i="1"/>
  <c r="J176" i="1"/>
  <c r="J30" i="1"/>
  <c r="J186" i="1"/>
  <c r="J159" i="1"/>
  <c r="J257" i="1"/>
  <c r="J28" i="1"/>
  <c r="J267" i="1"/>
  <c r="J32" i="1"/>
  <c r="J8" i="1"/>
  <c r="J55" i="1"/>
  <c r="J111" i="1"/>
  <c r="J284" i="1"/>
  <c r="J300" i="1"/>
  <c r="J180" i="1"/>
  <c r="J208" i="1"/>
  <c r="J342" i="1"/>
  <c r="J127" i="1"/>
  <c r="J44" i="1"/>
  <c r="J333" i="1"/>
  <c r="J16" i="1"/>
  <c r="J40" i="1"/>
  <c r="J248" i="1"/>
  <c r="J135" i="1"/>
  <c r="J262" i="1"/>
  <c r="J330" i="1"/>
  <c r="J10" i="1"/>
  <c r="J3" i="1"/>
  <c r="J170" i="1"/>
  <c r="J327" i="1"/>
  <c r="J318" i="1"/>
  <c r="J378" i="1"/>
  <c r="J351" i="1"/>
  <c r="J7" i="1"/>
  <c r="J166" i="1"/>
  <c r="J27" i="1"/>
  <c r="J38" i="1"/>
  <c r="J345" i="1"/>
  <c r="J260" i="1"/>
  <c r="J69" i="1"/>
  <c r="J141" i="1"/>
  <c r="J123" i="1"/>
  <c r="J68" i="1"/>
  <c r="J335" i="1"/>
  <c r="J292" i="1"/>
  <c r="J4" i="1"/>
  <c r="J173" i="1"/>
  <c r="J95" i="1"/>
  <c r="J356" i="1"/>
  <c r="J338" i="1"/>
  <c r="J18" i="1"/>
  <c r="J352" i="1"/>
  <c r="J396" i="1"/>
  <c r="J329" i="1"/>
  <c r="J149" i="1"/>
  <c r="J299" i="1"/>
  <c r="J96" i="1"/>
  <c r="J126" i="1"/>
  <c r="J49" i="1"/>
  <c r="J160" i="1"/>
  <c r="J75" i="1"/>
  <c r="J370" i="1"/>
  <c r="J353" i="1"/>
  <c r="J201" i="1"/>
  <c r="J15" i="1"/>
  <c r="J34" i="1"/>
  <c r="J37" i="1"/>
  <c r="J276" i="1"/>
  <c r="J71" i="1"/>
  <c r="J36" i="1"/>
  <c r="J129" i="1"/>
  <c r="J269" i="1"/>
  <c r="J146" i="1"/>
  <c r="J175" i="1"/>
  <c r="J157" i="1"/>
  <c r="J214" i="1"/>
  <c r="J293" i="1"/>
  <c r="J202" i="1"/>
  <c r="J388" i="1"/>
  <c r="J162" i="1"/>
  <c r="J188" i="1"/>
  <c r="J236" i="1"/>
  <c r="J197" i="1"/>
  <c r="J52" i="1"/>
  <c r="J133" i="1"/>
  <c r="J109" i="1"/>
  <c r="J245" i="1"/>
  <c r="J110" i="1"/>
  <c r="J384" i="1"/>
  <c r="J289" i="1"/>
  <c r="J294" i="1"/>
  <c r="J73" i="1"/>
  <c r="J79" i="1"/>
  <c r="J56" i="1"/>
  <c r="J234" i="1"/>
  <c r="J89" i="1"/>
  <c r="J93" i="1"/>
  <c r="J60" i="1"/>
  <c r="J339" i="1"/>
  <c r="J122" i="1"/>
  <c r="J103" i="1"/>
  <c r="J67" i="1"/>
  <c r="J104" i="1"/>
  <c r="J171" i="1"/>
  <c r="J181" i="1"/>
  <c r="J222" i="1"/>
  <c r="J86" i="1"/>
  <c r="J369" i="1"/>
  <c r="J21" i="1"/>
  <c r="J230" i="1"/>
  <c r="J398" i="1"/>
  <c r="J332" i="1"/>
  <c r="J125" i="1"/>
  <c r="J142" i="1"/>
  <c r="J363" i="1"/>
  <c r="J229" i="1"/>
  <c r="J152" i="1"/>
  <c r="J315" i="1"/>
  <c r="J397" i="1"/>
  <c r="J382" i="1"/>
  <c r="J150" i="1"/>
  <c r="J117" i="1"/>
  <c r="J233" i="1"/>
  <c r="J303" i="1"/>
  <c r="J5" i="1"/>
  <c r="J277" i="1"/>
  <c r="J376" i="1"/>
  <c r="J217" i="1"/>
  <c r="J102" i="1"/>
  <c r="J51" i="1"/>
  <c r="J138" i="1"/>
  <c r="J337" i="1"/>
  <c r="J347" i="1"/>
  <c r="J131" i="1"/>
  <c r="J187" i="1"/>
  <c r="J309" i="1"/>
  <c r="J242" i="1"/>
  <c r="J319" i="1"/>
  <c r="J132" i="1"/>
  <c r="J247" i="1"/>
  <c r="J212" i="1"/>
  <c r="J164" i="1"/>
  <c r="J182" i="1"/>
  <c r="J250" i="1"/>
  <c r="J313" i="1"/>
  <c r="J196" i="1"/>
  <c r="J221" i="1"/>
  <c r="J70" i="1"/>
  <c r="J361" i="1"/>
  <c r="J316" i="1"/>
  <c r="J278" i="1"/>
  <c r="J360" i="1"/>
  <c r="J80" i="1"/>
  <c r="J374" i="1"/>
  <c r="J140" i="1"/>
  <c r="J368" i="1"/>
  <c r="J194" i="1"/>
  <c r="J286" i="1"/>
  <c r="J210" i="1"/>
  <c r="J12" i="1"/>
  <c r="J261" i="1"/>
  <c r="J169" i="1"/>
  <c r="J386" i="1"/>
  <c r="J358" i="1"/>
  <c r="J371" i="1"/>
  <c r="J391" i="1"/>
  <c r="J200" i="1"/>
  <c r="J130" i="1"/>
  <c r="J147" i="1"/>
  <c r="J17" i="1"/>
  <c r="J26" i="1"/>
  <c r="J348" i="1"/>
  <c r="J341" i="1"/>
  <c r="J275" i="1"/>
  <c r="J77" i="1"/>
  <c r="J400" i="1"/>
  <c r="J29" i="1"/>
  <c r="J6" i="1"/>
  <c r="J263" i="1"/>
  <c r="J296" i="1"/>
  <c r="J24" i="1"/>
  <c r="J346" i="1"/>
  <c r="J265" i="1"/>
  <c r="J246" i="1"/>
  <c r="J167" i="1"/>
  <c r="J83" i="1"/>
  <c r="J322" i="1"/>
  <c r="J191" i="1"/>
  <c r="J128" i="1"/>
  <c r="J148" i="1"/>
  <c r="J161" i="1"/>
  <c r="J179" i="1"/>
  <c r="J41" i="1"/>
  <c r="J365" i="1"/>
  <c r="J311" i="1"/>
  <c r="J81" i="1"/>
  <c r="J392" i="1"/>
  <c r="J189" i="1"/>
  <c r="J92" i="1"/>
  <c r="J336" i="1"/>
  <c r="J252" i="1"/>
  <c r="J209" i="1"/>
  <c r="J254" i="1"/>
  <c r="J264" i="1"/>
  <c r="J101" i="1"/>
  <c r="J224" i="1"/>
  <c r="J178" i="1"/>
  <c r="J58" i="1"/>
  <c r="J63" i="1"/>
  <c r="J54" i="1"/>
  <c r="J272" i="1"/>
  <c r="J334" i="1"/>
  <c r="J399" i="1"/>
  <c r="J295" i="1"/>
  <c r="J153" i="1"/>
  <c r="J91" i="1"/>
  <c r="J387" i="1"/>
  <c r="J357" i="1"/>
  <c r="J199" i="1"/>
  <c r="J193" i="1"/>
  <c r="J100" i="1"/>
  <c r="J253" i="1"/>
  <c r="J385" i="1"/>
  <c r="J343" i="1"/>
  <c r="J401" i="1"/>
  <c r="J207" i="1"/>
  <c r="J302" i="1"/>
  <c r="J394" i="1"/>
  <c r="J13" i="1"/>
  <c r="J312" i="1"/>
  <c r="J168" i="1"/>
  <c r="J244" i="1"/>
  <c r="J82" i="1"/>
  <c r="J198" i="1"/>
  <c r="J256" i="1"/>
  <c r="J237" i="1"/>
  <c r="J281" i="1"/>
  <c r="J383" i="1"/>
  <c r="J184" i="1"/>
  <c r="J42" i="1"/>
  <c r="J39" i="1"/>
  <c r="J340" i="1"/>
  <c r="J235" i="1"/>
  <c r="J116" i="1"/>
  <c r="J47" i="1"/>
  <c r="J280" i="1"/>
  <c r="J87" i="1"/>
  <c r="J297" i="1"/>
  <c r="J290" i="1"/>
  <c r="J105" i="1"/>
  <c r="J76" i="1"/>
  <c r="J48" i="1"/>
  <c r="J359" i="1"/>
  <c r="J259" i="1"/>
  <c r="J243" i="1"/>
  <c r="J258" i="1"/>
  <c r="J106" i="1"/>
  <c r="J134" i="1"/>
  <c r="J74" i="1"/>
  <c r="J31" i="1"/>
  <c r="J136" i="1"/>
  <c r="J65" i="1"/>
  <c r="J372" i="1"/>
  <c r="J228" i="1"/>
  <c r="J62" i="1"/>
  <c r="J306" i="1"/>
  <c r="J344" i="1"/>
  <c r="J305" i="1"/>
  <c r="J288" i="1"/>
  <c r="J240" i="1"/>
  <c r="J185" i="1"/>
  <c r="J395" i="1"/>
  <c r="J190" i="1"/>
  <c r="J163" i="1"/>
  <c r="J158" i="1"/>
  <c r="J45" i="1"/>
  <c r="J366" i="1"/>
  <c r="J57" i="1"/>
  <c r="J241" i="1"/>
  <c r="J223" i="1"/>
  <c r="J114" i="1"/>
  <c r="J215" i="1"/>
  <c r="J50" i="1"/>
  <c r="J90" i="1"/>
  <c r="J225" i="1"/>
  <c r="J108" i="1"/>
  <c r="J331" i="1"/>
  <c r="J310" i="1"/>
  <c r="J291" i="1"/>
  <c r="J266" i="1"/>
  <c r="J85" i="1"/>
  <c r="J231" i="1"/>
  <c r="J72" i="1"/>
  <c r="J377" i="1"/>
  <c r="J119" i="1"/>
  <c r="J137" i="1"/>
  <c r="J113" i="1"/>
  <c r="J205" i="1"/>
  <c r="J390" i="1"/>
  <c r="J323" i="1"/>
  <c r="J174" i="1"/>
  <c r="J226" i="1"/>
  <c r="J324" i="1"/>
  <c r="J373" i="1"/>
  <c r="J112" i="1"/>
  <c r="J274" i="1"/>
  <c r="J304" i="1"/>
  <c r="J389" i="1"/>
  <c r="J282" i="1"/>
  <c r="J151" i="1"/>
  <c r="J206" i="1"/>
  <c r="J307" i="1"/>
  <c r="J279" i="1"/>
  <c r="J227" i="1"/>
  <c r="J325" i="1"/>
  <c r="J183" i="1"/>
  <c r="J22" i="1"/>
  <c r="J139" i="1"/>
  <c r="J9" i="1"/>
  <c r="J144" i="1"/>
  <c r="J255" i="1"/>
  <c r="J364" i="1"/>
  <c r="J172" i="1"/>
  <c r="J61" i="1"/>
  <c r="J379" i="1"/>
  <c r="J97" i="1"/>
  <c r="J301" i="1"/>
  <c r="J155" i="1"/>
  <c r="J326" i="1"/>
  <c r="J35" i="1"/>
  <c r="J53" i="1"/>
  <c r="J118" i="1"/>
  <c r="J154" i="1"/>
  <c r="J115" i="1"/>
  <c r="J124" i="1"/>
  <c r="J59" i="1"/>
  <c r="J216" i="1"/>
  <c r="J271" i="1"/>
  <c r="J20" i="1"/>
  <c r="J238" i="1"/>
  <c r="J350" i="1"/>
  <c r="J23" i="1"/>
  <c r="J211" i="1"/>
  <c r="J218" i="1"/>
  <c r="J64" i="1"/>
  <c r="J251" i="1"/>
  <c r="J285" i="1"/>
  <c r="J94" i="1"/>
  <c r="J320" i="1"/>
  <c r="J273" i="1"/>
  <c r="J287" i="1"/>
  <c r="J107" i="1"/>
  <c r="J78" i="1"/>
  <c r="J120" i="1"/>
  <c r="J219" i="1"/>
  <c r="J98" i="1"/>
  <c r="J298" i="1"/>
  <c r="J381" i="1"/>
  <c r="J99" i="1"/>
  <c r="J268" i="1"/>
  <c r="J2" i="1"/>
  <c r="J11" i="1"/>
  <c r="J156" i="1"/>
  <c r="J88" i="1"/>
  <c r="J121" i="1"/>
  <c r="J393" i="1"/>
  <c r="J145" i="1"/>
  <c r="J314" i="1"/>
  <c r="J232" i="1"/>
  <c r="J204" i="1"/>
  <c r="J195" i="1"/>
  <c r="J367" i="1"/>
  <c r="J249" i="1"/>
  <c r="J33" i="1"/>
  <c r="J46" i="1"/>
  <c r="J362" i="1"/>
  <c r="J203" i="1"/>
  <c r="J19" i="1"/>
  <c r="J14" i="1"/>
  <c r="J177" i="1"/>
  <c r="AB10" i="4"/>
  <c r="J21" i="2"/>
  <c r="K10" i="4"/>
  <c r="J34" i="2" l="1"/>
  <c r="J47" i="2"/>
  <c r="J46" i="2"/>
  <c r="BG13" i="4"/>
  <c r="J33" i="2"/>
  <c r="J24" i="2"/>
  <c r="J25" i="2"/>
  <c r="J26" i="2"/>
  <c r="AP10" i="4"/>
  <c r="J39" i="2" l="1"/>
  <c r="J35" i="2"/>
  <c r="AB13" i="4" s="1"/>
  <c r="J30" i="2"/>
  <c r="J38" i="2"/>
  <c r="J41" i="2" s="1"/>
  <c r="AP13" i="4" s="1"/>
  <c r="J28" i="2"/>
  <c r="J31" i="2"/>
  <c r="K13" i="4" s="1"/>
  <c r="J48" i="2" l="1"/>
  <c r="J49" i="2"/>
  <c r="L20" i="4" s="1"/>
  <c r="J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<sst xmlns="http://schemas.openxmlformats.org/spreadsheetml/2006/main" count="2497" uniqueCount="431">
  <si>
    <t>Fecha</t>
  </si>
  <si>
    <t>Producto</t>
  </si>
  <si>
    <t>Categoría</t>
  </si>
  <si>
    <t>Vendedor</t>
  </si>
  <si>
    <t>Localidad</t>
  </si>
  <si>
    <t>Canal</t>
  </si>
  <si>
    <t>Cantidad Vendida</t>
  </si>
  <si>
    <t>Precio Unitario</t>
  </si>
  <si>
    <t>Total Venta</t>
  </si>
  <si>
    <t>2023-08-23</t>
  </si>
  <si>
    <t>Celular</t>
  </si>
  <si>
    <t>Telefonía</t>
  </si>
  <si>
    <t>Juan Hernández</t>
  </si>
  <si>
    <t>Kennedy</t>
  </si>
  <si>
    <t>Tienda Física</t>
  </si>
  <si>
    <t>2025-07-22</t>
  </si>
  <si>
    <t>Memoria USB</t>
  </si>
  <si>
    <t>Accesorios</t>
  </si>
  <si>
    <t>Suba</t>
  </si>
  <si>
    <t>2023-11-04</t>
  </si>
  <si>
    <t>Impresora</t>
  </si>
  <si>
    <t>Periféricos</t>
  </si>
  <si>
    <t>María López</t>
  </si>
  <si>
    <t>Fontibón</t>
  </si>
  <si>
    <t>Online</t>
  </si>
  <si>
    <t>2025-09-29</t>
  </si>
  <si>
    <t>Disco Duro</t>
  </si>
  <si>
    <t>Almacenamiento</t>
  </si>
  <si>
    <t>Chapinero</t>
  </si>
  <si>
    <t>2025-02-19</t>
  </si>
  <si>
    <t>Mouse</t>
  </si>
  <si>
    <t>2024-04-10</t>
  </si>
  <si>
    <t>Carlos Gómez</t>
  </si>
  <si>
    <t>Engativá</t>
  </si>
  <si>
    <t>2025-05-05</t>
  </si>
  <si>
    <t>Usaquén</t>
  </si>
  <si>
    <t>2024-07-15</t>
  </si>
  <si>
    <t>Laptop</t>
  </si>
  <si>
    <t>Computadores</t>
  </si>
  <si>
    <t>2024-03-28</t>
  </si>
  <si>
    <t>2023-08-14</t>
  </si>
  <si>
    <t>Ana Pérez</t>
  </si>
  <si>
    <t>Teusaquillo</t>
  </si>
  <si>
    <t>2025-07-10</t>
  </si>
  <si>
    <t>Laura Torres</t>
  </si>
  <si>
    <t>2025-04-30</t>
  </si>
  <si>
    <t>Tablet</t>
  </si>
  <si>
    <t>2025-09-02</t>
  </si>
  <si>
    <t>2025-04-29</t>
  </si>
  <si>
    <t>Monitor</t>
  </si>
  <si>
    <t>Pedro Ramírez</t>
  </si>
  <si>
    <t>2025-01-13</t>
  </si>
  <si>
    <t>Diana Morales</t>
  </si>
  <si>
    <t>2025-12-10</t>
  </si>
  <si>
    <t>2023-05-27</t>
  </si>
  <si>
    <t>2025-01-26</t>
  </si>
  <si>
    <t>2023-07-26</t>
  </si>
  <si>
    <t>2023-04-12</t>
  </si>
  <si>
    <t>Miguel Vargas</t>
  </si>
  <si>
    <t>2025-08-10</t>
  </si>
  <si>
    <t>2023-09-25</t>
  </si>
  <si>
    <t>Luis Castillo</t>
  </si>
  <si>
    <t>2024-03-08</t>
  </si>
  <si>
    <t>2024-11-02</t>
  </si>
  <si>
    <t>2025-05-09</t>
  </si>
  <si>
    <t>2023-08-10</t>
  </si>
  <si>
    <t>Auriculares</t>
  </si>
  <si>
    <t>2024-11-10</t>
  </si>
  <si>
    <t>2024-05-28</t>
  </si>
  <si>
    <t>Teclado</t>
  </si>
  <si>
    <t>2023-05-21</t>
  </si>
  <si>
    <t>2025-10-18</t>
  </si>
  <si>
    <t>Sofía Rodríguez</t>
  </si>
  <si>
    <t>2025-05-08</t>
  </si>
  <si>
    <t>2025-05-26</t>
  </si>
  <si>
    <t>2024-02-14</t>
  </si>
  <si>
    <t>2024-10-19</t>
  </si>
  <si>
    <t>2023-09-08</t>
  </si>
  <si>
    <t>2025-04-15</t>
  </si>
  <si>
    <t>2023-07-14</t>
  </si>
  <si>
    <t>2025-11-09</t>
  </si>
  <si>
    <t>2024-03-15</t>
  </si>
  <si>
    <t>2025-11-02</t>
  </si>
  <si>
    <t>2023-11-01</t>
  </si>
  <si>
    <t>2024-06-09</t>
  </si>
  <si>
    <t>2025-03-04</t>
  </si>
  <si>
    <t>2023-05-19</t>
  </si>
  <si>
    <t>2023-09-15</t>
  </si>
  <si>
    <t>2024-12-19</t>
  </si>
  <si>
    <t>2025-12-31</t>
  </si>
  <si>
    <t>2025-04-20</t>
  </si>
  <si>
    <t>2025-09-18</t>
  </si>
  <si>
    <t>2023-01-09</t>
  </si>
  <si>
    <t>2024-03-12</t>
  </si>
  <si>
    <t>2025-03-08</t>
  </si>
  <si>
    <t>2024-10-20</t>
  </si>
  <si>
    <t>2025-06-12</t>
  </si>
  <si>
    <t>2025-07-15</t>
  </si>
  <si>
    <t>2025-05-19</t>
  </si>
  <si>
    <t>2023-04-22</t>
  </si>
  <si>
    <t>2023-10-21</t>
  </si>
  <si>
    <t>2024-11-17</t>
  </si>
  <si>
    <t>2025-04-24</t>
  </si>
  <si>
    <t>2024-10-22</t>
  </si>
  <si>
    <t>2024-03-23</t>
  </si>
  <si>
    <t>2025-02-11</t>
  </si>
  <si>
    <t>2023-06-04</t>
  </si>
  <si>
    <t>2023-07-27</t>
  </si>
  <si>
    <t>2025-10-28</t>
  </si>
  <si>
    <t>2025-12-27</t>
  </si>
  <si>
    <t>2025-04-09</t>
  </si>
  <si>
    <t>2023-09-04</t>
  </si>
  <si>
    <t>2025-07-03</t>
  </si>
  <si>
    <t>2024-07-04</t>
  </si>
  <si>
    <t>2025-11-15</t>
  </si>
  <si>
    <t>2025-10-02</t>
  </si>
  <si>
    <t>2023-12-27</t>
  </si>
  <si>
    <t>2023-12-12</t>
  </si>
  <si>
    <t>2024-11-16</t>
  </si>
  <si>
    <t>2025-01-29</t>
  </si>
  <si>
    <t>2025-05-17</t>
  </si>
  <si>
    <t>2023-02-15</t>
  </si>
  <si>
    <t>2024-08-10</t>
  </si>
  <si>
    <t>2024-07-13</t>
  </si>
  <si>
    <t>2025-05-25</t>
  </si>
  <si>
    <t>2023-03-25</t>
  </si>
  <si>
    <t>2024-07-28</t>
  </si>
  <si>
    <t>2023-01-08</t>
  </si>
  <si>
    <t>2023-09-24</t>
  </si>
  <si>
    <t>2025-05-28</t>
  </si>
  <si>
    <t>2025-02-04</t>
  </si>
  <si>
    <t>2025-09-11</t>
  </si>
  <si>
    <t>2024-04-29</t>
  </si>
  <si>
    <t>2024-02-22</t>
  </si>
  <si>
    <t>2023-06-23</t>
  </si>
  <si>
    <t>2023-07-15</t>
  </si>
  <si>
    <t>2024-05-21</t>
  </si>
  <si>
    <t>2025-10-12</t>
  </si>
  <si>
    <t>2024-12-18</t>
  </si>
  <si>
    <t>2025-06-26</t>
  </si>
  <si>
    <t>2025-03-28</t>
  </si>
  <si>
    <t>2025-02-08</t>
  </si>
  <si>
    <t>2023-12-31</t>
  </si>
  <si>
    <t>2025-10-10</t>
  </si>
  <si>
    <t>2024-11-24</t>
  </si>
  <si>
    <t>2025-01-18</t>
  </si>
  <si>
    <t>2024-05-26</t>
  </si>
  <si>
    <t>2025-10-07</t>
  </si>
  <si>
    <t>2025-06-29</t>
  </si>
  <si>
    <t>2024-07-29</t>
  </si>
  <si>
    <t>2023-10-12</t>
  </si>
  <si>
    <t>2023-06-09</t>
  </si>
  <si>
    <t>2024-11-04</t>
  </si>
  <si>
    <t>2025-09-17</t>
  </si>
  <si>
    <t>2024-08-18</t>
  </si>
  <si>
    <t>2025-11-07</t>
  </si>
  <si>
    <t>2024-09-12</t>
  </si>
  <si>
    <t>2023-08-20</t>
  </si>
  <si>
    <t>2025-07-24</t>
  </si>
  <si>
    <t>2024-08-08</t>
  </si>
  <si>
    <t>2024-12-04</t>
  </si>
  <si>
    <t>2025-05-11</t>
  </si>
  <si>
    <t>2023-04-14</t>
  </si>
  <si>
    <t>2023-01-25</t>
  </si>
  <si>
    <t>2024-11-20</t>
  </si>
  <si>
    <t>2025-07-06</t>
  </si>
  <si>
    <t>2024-10-11</t>
  </si>
  <si>
    <t>2024-03-02</t>
  </si>
  <si>
    <t>2023-11-16</t>
  </si>
  <si>
    <t>2024-08-05</t>
  </si>
  <si>
    <t>2025-01-15</t>
  </si>
  <si>
    <t>2023-10-23</t>
  </si>
  <si>
    <t>2023-01-22</t>
  </si>
  <si>
    <t>2024-10-06</t>
  </si>
  <si>
    <t>2024-01-10</t>
  </si>
  <si>
    <t>2024-08-09</t>
  </si>
  <si>
    <t>2024-12-09</t>
  </si>
  <si>
    <t>2023-11-05</t>
  </si>
  <si>
    <t>2024-04-04</t>
  </si>
  <si>
    <t>2023-12-07</t>
  </si>
  <si>
    <t>2025-04-21</t>
  </si>
  <si>
    <t>2023-03-11</t>
  </si>
  <si>
    <t>2025-05-14</t>
  </si>
  <si>
    <t>2024-04-13</t>
  </si>
  <si>
    <t>2025-08-22</t>
  </si>
  <si>
    <t>2024-01-25</t>
  </si>
  <si>
    <t>2023-11-22</t>
  </si>
  <si>
    <t>2023-11-21</t>
  </si>
  <si>
    <t>2023-06-25</t>
  </si>
  <si>
    <t>2025-07-20</t>
  </si>
  <si>
    <t>2025-11-23</t>
  </si>
  <si>
    <t>2024-06-11</t>
  </si>
  <si>
    <t>2025-06-24</t>
  </si>
  <si>
    <t>2024-08-23</t>
  </si>
  <si>
    <t>2024-02-02</t>
  </si>
  <si>
    <t>2025-07-18</t>
  </si>
  <si>
    <t>2024-03-29</t>
  </si>
  <si>
    <t>2023-07-08</t>
  </si>
  <si>
    <t>2023-01-12</t>
  </si>
  <si>
    <t>2025-12-15</t>
  </si>
  <si>
    <t>2023-08-15</t>
  </si>
  <si>
    <t>2024-10-17</t>
  </si>
  <si>
    <t>2024-07-06</t>
  </si>
  <si>
    <t>2023-03-02</t>
  </si>
  <si>
    <t>2023-11-02</t>
  </si>
  <si>
    <t>2023-11-15</t>
  </si>
  <si>
    <t>2023-07-03</t>
  </si>
  <si>
    <t>2024-10-31</t>
  </si>
  <si>
    <t>2025-10-16</t>
  </si>
  <si>
    <t>2023-08-09</t>
  </si>
  <si>
    <t>2023-08-18</t>
  </si>
  <si>
    <t>2024-01-22</t>
  </si>
  <si>
    <t>2023-06-20</t>
  </si>
  <si>
    <t>2023-10-11</t>
  </si>
  <si>
    <t>2025-11-04</t>
  </si>
  <si>
    <t>2024-11-26</t>
  </si>
  <si>
    <t>2025-03-17</t>
  </si>
  <si>
    <t>2023-06-21</t>
  </si>
  <si>
    <t>2025-07-02</t>
  </si>
  <si>
    <t>2024-06-30</t>
  </si>
  <si>
    <t>2023-02-19</t>
  </si>
  <si>
    <t>2023-11-20</t>
  </si>
  <si>
    <t>2024-08-27</t>
  </si>
  <si>
    <t>2024-04-24</t>
  </si>
  <si>
    <t>2023-01-14</t>
  </si>
  <si>
    <t>2023-10-02</t>
  </si>
  <si>
    <t>2024-08-01</t>
  </si>
  <si>
    <t>2025-04-14</t>
  </si>
  <si>
    <t>2024-07-23</t>
  </si>
  <si>
    <t>2023-10-14</t>
  </si>
  <si>
    <t>2024-03-24</t>
  </si>
  <si>
    <t>2024-09-14</t>
  </si>
  <si>
    <t>2024-08-22</t>
  </si>
  <si>
    <t>2024-05-18</t>
  </si>
  <si>
    <t>2025-01-05</t>
  </si>
  <si>
    <t>2023-03-13</t>
  </si>
  <si>
    <t>2025-11-16</t>
  </si>
  <si>
    <t>2024-10-09</t>
  </si>
  <si>
    <t>2024-06-28</t>
  </si>
  <si>
    <t>2025-01-23</t>
  </si>
  <si>
    <t>2024-01-20</t>
  </si>
  <si>
    <t>2025-10-26</t>
  </si>
  <si>
    <t>2025-03-26</t>
  </si>
  <si>
    <t>2024-02-12</t>
  </si>
  <si>
    <t>2023-06-30</t>
  </si>
  <si>
    <t>2025-09-04</t>
  </si>
  <si>
    <t>2023-01-13</t>
  </si>
  <si>
    <t>2024-06-08</t>
  </si>
  <si>
    <t>2024-11-08</t>
  </si>
  <si>
    <t>2023-11-13</t>
  </si>
  <si>
    <t>2023-06-17</t>
  </si>
  <si>
    <t>2025-02-18</t>
  </si>
  <si>
    <t>2025-02-07</t>
  </si>
  <si>
    <t>2023-03-29</t>
  </si>
  <si>
    <t>2025-10-21</t>
  </si>
  <si>
    <t>2024-08-25</t>
  </si>
  <si>
    <t>2025-07-13</t>
  </si>
  <si>
    <t>2023-01-10</t>
  </si>
  <si>
    <t>2023-12-13</t>
  </si>
  <si>
    <t>2023-05-23</t>
  </si>
  <si>
    <t>2025-06-02</t>
  </si>
  <si>
    <t>2025-03-12</t>
  </si>
  <si>
    <t>2025-04-22</t>
  </si>
  <si>
    <t>2025-07-27</t>
  </si>
  <si>
    <t>2023-02-11</t>
  </si>
  <si>
    <t>2024-08-15</t>
  </si>
  <si>
    <t>2024-05-24</t>
  </si>
  <si>
    <t>2025-03-27</t>
  </si>
  <si>
    <t>2025-10-05</t>
  </si>
  <si>
    <t>2023-04-02</t>
  </si>
  <si>
    <t>2024-02-21</t>
  </si>
  <si>
    <t>2024-12-31</t>
  </si>
  <si>
    <t>2025-10-01</t>
  </si>
  <si>
    <t>2025-10-11</t>
  </si>
  <si>
    <t>2024-09-08</t>
  </si>
  <si>
    <t>2024-01-14</t>
  </si>
  <si>
    <t>2024-01-21</t>
  </si>
  <si>
    <t>2023-03-12</t>
  </si>
  <si>
    <t>2023-12-21</t>
  </si>
  <si>
    <t>2025-04-07</t>
  </si>
  <si>
    <t>2023-04-05</t>
  </si>
  <si>
    <t>2023-02-23</t>
  </si>
  <si>
    <t>2025-08-21</t>
  </si>
  <si>
    <t>2025-11-24</t>
  </si>
  <si>
    <t>2024-04-05</t>
  </si>
  <si>
    <t>2023-08-26</t>
  </si>
  <si>
    <t>2023-03-03</t>
  </si>
  <si>
    <t>2025-03-06</t>
  </si>
  <si>
    <t>2023-12-26</t>
  </si>
  <si>
    <t>2023-05-28</t>
  </si>
  <si>
    <t>2023-11-24</t>
  </si>
  <si>
    <t>2025-05-30</t>
  </si>
  <si>
    <t>2025-03-03</t>
  </si>
  <si>
    <t>2023-05-09</t>
  </si>
  <si>
    <t>2025-05-06</t>
  </si>
  <si>
    <t>2025-09-13</t>
  </si>
  <si>
    <t>2023-11-27</t>
  </si>
  <si>
    <t>2025-08-20</t>
  </si>
  <si>
    <t>2024-07-17</t>
  </si>
  <si>
    <t>2024-11-15</t>
  </si>
  <si>
    <t>2025-01-30</t>
  </si>
  <si>
    <t>2025-11-01</t>
  </si>
  <si>
    <t>2025-03-18</t>
  </si>
  <si>
    <t>2025-02-14</t>
  </si>
  <si>
    <t>2024-08-11</t>
  </si>
  <si>
    <t>2023-08-27</t>
  </si>
  <si>
    <t>2023-06-16</t>
  </si>
  <si>
    <t>2023-01-07</t>
  </si>
  <si>
    <t>2025-08-09</t>
  </si>
  <si>
    <t>2023-06-03</t>
  </si>
  <si>
    <t>2025-04-26</t>
  </si>
  <si>
    <t>2024-05-04</t>
  </si>
  <si>
    <t>2024-11-23</t>
  </si>
  <si>
    <t>2024-06-12</t>
  </si>
  <si>
    <t>2023-08-07</t>
  </si>
  <si>
    <t>2023-08-03</t>
  </si>
  <si>
    <t>2023-03-22</t>
  </si>
  <si>
    <t>2025-06-10</t>
  </si>
  <si>
    <t>2023-05-12</t>
  </si>
  <si>
    <t>2025-10-30</t>
  </si>
  <si>
    <t>2025-09-25</t>
  </si>
  <si>
    <t>2024-07-08</t>
  </si>
  <si>
    <t>2023-05-07</t>
  </si>
  <si>
    <t>2025-05-02</t>
  </si>
  <si>
    <t>2025-01-25</t>
  </si>
  <si>
    <t>2024-02-10</t>
  </si>
  <si>
    <t>2023-11-29</t>
  </si>
  <si>
    <t>2023-10-01</t>
  </si>
  <si>
    <t>2024-01-01</t>
  </si>
  <si>
    <t>2024-11-13</t>
  </si>
  <si>
    <t>2025-08-23</t>
  </si>
  <si>
    <t>2024-04-19</t>
  </si>
  <si>
    <t>2025-09-08</t>
  </si>
  <si>
    <t>2023-08-04</t>
  </si>
  <si>
    <t>2023-12-29</t>
  </si>
  <si>
    <t>2024-01-12</t>
  </si>
  <si>
    <t>2024-04-14</t>
  </si>
  <si>
    <t>2023-12-25</t>
  </si>
  <si>
    <t>2023-10-07</t>
  </si>
  <si>
    <t>2025-01-11</t>
  </si>
  <si>
    <t>2023-10-25</t>
  </si>
  <si>
    <t>2025-05-15</t>
  </si>
  <si>
    <t>2023-04-24</t>
  </si>
  <si>
    <t>2024-12-13</t>
  </si>
  <si>
    <t>2024-08-16</t>
  </si>
  <si>
    <t>2024-12-21</t>
  </si>
  <si>
    <t>2025-12-12</t>
  </si>
  <si>
    <t>2023-05-03</t>
  </si>
  <si>
    <t>2024-10-02</t>
  </si>
  <si>
    <t>2024-06-24</t>
  </si>
  <si>
    <t>2023-03-17</t>
  </si>
  <si>
    <t>2025-11-29</t>
  </si>
  <si>
    <t>2025-09-09</t>
  </si>
  <si>
    <t>2025-05-10</t>
  </si>
  <si>
    <t>2025-06-08</t>
  </si>
  <si>
    <t>2023-09-09</t>
  </si>
  <si>
    <t>2023-11-09</t>
  </si>
  <si>
    <t>2024-11-14</t>
  </si>
  <si>
    <t>2023-08-08</t>
  </si>
  <si>
    <t>2023-05-31</t>
  </si>
  <si>
    <t>2023-09-06</t>
  </si>
  <si>
    <t>2025-02-23</t>
  </si>
  <si>
    <t>2024-09-10</t>
  </si>
  <si>
    <t>2024-10-27</t>
  </si>
  <si>
    <t>2023-08-11</t>
  </si>
  <si>
    <t>2023-01-03</t>
  </si>
  <si>
    <t>2023-03-10</t>
  </si>
  <si>
    <t>2024-06-19</t>
  </si>
  <si>
    <t>2023-11-03</t>
  </si>
  <si>
    <t>2023-08-21</t>
  </si>
  <si>
    <t>2023-09-20</t>
  </si>
  <si>
    <t>2023-10-20</t>
  </si>
  <si>
    <t>2024-03-22</t>
  </si>
  <si>
    <t>2023-06-18</t>
  </si>
  <si>
    <t>2025-03-11</t>
  </si>
  <si>
    <t>2023-04-26</t>
  </si>
  <si>
    <t>2024-05-27</t>
  </si>
  <si>
    <t>Suma de Total Venta</t>
  </si>
  <si>
    <t>Mes</t>
  </si>
  <si>
    <t>Dia</t>
  </si>
  <si>
    <t>Año</t>
  </si>
  <si>
    <t>Digito Mes</t>
  </si>
  <si>
    <t>Etiquetas de fila</t>
  </si>
  <si>
    <t>Total general</t>
  </si>
  <si>
    <t>2024</t>
  </si>
  <si>
    <t>2023</t>
  </si>
  <si>
    <t>2025</t>
  </si>
  <si>
    <t>ID Venta</t>
  </si>
  <si>
    <t>Cuenta de ID Venta</t>
  </si>
  <si>
    <t>Período 2023-2025 | Dashboard Ejecutivo</t>
  </si>
  <si>
    <t>VENTAS TOTALES</t>
  </si>
  <si>
    <t>TRANSACCIONES</t>
  </si>
  <si>
    <t>TICKET PROMEDIO</t>
  </si>
  <si>
    <t>PRODUCTOS ACTIVOS</t>
  </si>
  <si>
    <t>INSIGHTS CLAVE</t>
  </si>
  <si>
    <t>2023 fue el mejor año: $4.5M en ingresos</t>
  </si>
  <si>
    <t>Calculos auxiliares</t>
  </si>
  <si>
    <t>Ticket promedio</t>
  </si>
  <si>
    <t>Productos activos</t>
  </si>
  <si>
    <t>Ventas 2023</t>
  </si>
  <si>
    <t>Ventas 2024</t>
  </si>
  <si>
    <t>Ventas 2025</t>
  </si>
  <si>
    <t>Calculo 2024 vs 2023</t>
  </si>
  <si>
    <t>Calculo 2025 vs 2024</t>
  </si>
  <si>
    <t>Transacciones 2024</t>
  </si>
  <si>
    <t>Transacciones 2025</t>
  </si>
  <si>
    <t>Ticket promedio general</t>
  </si>
  <si>
    <t>T promedio 2024</t>
  </si>
  <si>
    <t>T promedio 2025</t>
  </si>
  <si>
    <t>Producto top</t>
  </si>
  <si>
    <t>Cantidad producto top</t>
  </si>
  <si>
    <t>Total transacciones</t>
  </si>
  <si>
    <t>Ventas tienda online</t>
  </si>
  <si>
    <t>Ventas tienda física</t>
  </si>
  <si>
    <t>Top localidades: Teusaquillo y Chapinero</t>
  </si>
  <si>
    <t>Canal Físico tiene mejor ticket promedio</t>
  </si>
  <si>
    <t>Aumentar presencia en Tienda Física en Kennedy</t>
  </si>
  <si>
    <t>Trimestre</t>
  </si>
  <si>
    <t>T1-23</t>
  </si>
  <si>
    <t>T1-24</t>
  </si>
  <si>
    <t>T1-25</t>
  </si>
  <si>
    <t>T2-23</t>
  </si>
  <si>
    <t>T2-24</t>
  </si>
  <si>
    <t>T2-25</t>
  </si>
  <si>
    <t>T3-23</t>
  </si>
  <si>
    <t>T3-24</t>
  </si>
  <si>
    <t>T3-25</t>
  </si>
  <si>
    <t>T4-23</t>
  </si>
  <si>
    <t>T4-24</t>
  </si>
  <si>
    <t>T4-25</t>
  </si>
  <si>
    <t>Análisis de ventas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</si>
</sst>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00"/>
    <numFmt numFmtId="166" formatCode="0.0,,&quot;M&quot;"/>
    <numFmt numFmtId="167" formatCode="&quot;$&quot;#0.0,,\ &quot;M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Arial"/>
      <family val="2"/>
    </font>
    <font>
      <sz val="26"/>
      <color rgb="FF309975"/>
      <name val="Arial Black"/>
      <family val="2"/>
    </font>
    <font>
      <sz val="26"/>
      <color rgb="FF58B368"/>
      <name val="Arial Black"/>
      <family val="2"/>
    </font>
    <font>
      <sz val="26"/>
      <color rgb="FFDAD873"/>
      <name val="Arial Black"/>
      <family val="2"/>
    </font>
    <font>
      <sz val="26"/>
      <color rgb="FF454D66"/>
      <name val="Arial Black"/>
      <family val="2"/>
    </font>
    <font>
      <b/>
      <sz val="11"/>
      <color theme="0"/>
      <name val="Arial"/>
      <family val="2"/>
    </font>
    <font>
      <u/>
      <sz val="11"/>
      <color theme="1"/>
      <name val="Calibri"/>
      <family val="2"/>
      <scheme val="minor"/>
    </font>
    <font>
      <sz val="12"/>
      <color rgb="FF454D66"/>
      <name val="Arial"/>
      <family val="2"/>
    </font>
    <font>
      <sz val="14"/>
      <color theme="1"/>
      <name val="Arial"/>
      <family val="2"/>
    </font>
    <font>
      <sz val="36"/>
      <color theme="0"/>
      <name val="Arial"/>
      <family val="2"/>
    </font>
    <font>
      <sz val="16"/>
      <color theme="1"/>
      <name val="Arial"/>
      <family val="2"/>
    </font>
    <font>
      <sz val="12"/>
      <color theme="9" tint="-0.249977111117893"/>
      <name val="Arial"/>
      <family val="2"/>
    </font>
    <font>
      <sz val="14"/>
      <color rgb="FF309975"/>
      <name val="Arial"/>
      <family val="2"/>
    </font>
    <font>
      <sz val="14"/>
      <color rgb="FF58B368"/>
      <name val="Arial"/>
      <family val="2"/>
    </font>
    <font>
      <sz val="14"/>
      <color rgb="FFFF0000"/>
      <name val="Arial"/>
      <family val="2"/>
    </font>
    <font>
      <sz val="14"/>
      <color rgb="FF454D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54D66"/>
        <bgColor indexed="64"/>
      </patternFill>
    </fill>
    <fill>
      <patternFill patternType="solid">
        <fgColor rgb="FFEFEEB4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09975"/>
      </left>
      <right/>
      <top/>
      <bottom/>
      <diagonal/>
    </border>
    <border>
      <left/>
      <right style="thin">
        <color rgb="FF309975"/>
      </right>
      <top/>
      <bottom/>
      <diagonal/>
    </border>
    <border>
      <left style="thin">
        <color rgb="FF309975"/>
      </left>
      <right/>
      <top/>
      <bottom style="thin">
        <color rgb="FF309975"/>
      </bottom>
      <diagonal/>
    </border>
    <border>
      <left/>
      <right/>
      <top/>
      <bottom style="thin">
        <color rgb="FF309975"/>
      </bottom>
      <diagonal/>
    </border>
    <border>
      <left/>
      <right style="thin">
        <color rgb="FF309975"/>
      </right>
      <top/>
      <bottom style="thin">
        <color rgb="FF309975"/>
      </bottom>
      <diagonal/>
    </border>
    <border>
      <left/>
      <right/>
      <top style="thick">
        <color rgb="FF309975"/>
      </top>
      <bottom/>
      <diagonal/>
    </border>
    <border>
      <left/>
      <right/>
      <top/>
      <bottom style="thick">
        <color rgb="FF309975"/>
      </bottom>
      <diagonal/>
    </border>
    <border>
      <left style="thin">
        <color rgb="FF309975"/>
      </left>
      <right/>
      <top style="thick">
        <color rgb="FF309975"/>
      </top>
      <bottom/>
      <diagonal/>
    </border>
    <border>
      <left/>
      <right style="thin">
        <color rgb="FF309975"/>
      </right>
      <top style="thick">
        <color rgb="FF309975"/>
      </top>
      <bottom/>
      <diagonal/>
    </border>
    <border>
      <left/>
      <right/>
      <top style="thick">
        <color rgb="FF58B368"/>
      </top>
      <bottom/>
      <diagonal/>
    </border>
    <border>
      <left/>
      <right/>
      <top/>
      <bottom style="thick">
        <color rgb="FF58B368"/>
      </bottom>
      <diagonal/>
    </border>
    <border>
      <left style="thin">
        <color rgb="FF58B368"/>
      </left>
      <right/>
      <top/>
      <bottom/>
      <diagonal/>
    </border>
    <border>
      <left/>
      <right style="thin">
        <color rgb="FF58B368"/>
      </right>
      <top/>
      <bottom/>
      <diagonal/>
    </border>
    <border>
      <left style="thin">
        <color rgb="FF58B368"/>
      </left>
      <right/>
      <top/>
      <bottom style="thin">
        <color rgb="FF58B368"/>
      </bottom>
      <diagonal/>
    </border>
    <border>
      <left/>
      <right/>
      <top/>
      <bottom style="thin">
        <color rgb="FF58B368"/>
      </bottom>
      <diagonal/>
    </border>
    <border>
      <left/>
      <right style="thin">
        <color rgb="FF58B368"/>
      </right>
      <top/>
      <bottom style="thin">
        <color rgb="FF58B368"/>
      </bottom>
      <diagonal/>
    </border>
    <border>
      <left/>
      <right/>
      <top style="thick">
        <color rgb="FFDAD873"/>
      </top>
      <bottom/>
      <diagonal/>
    </border>
    <border>
      <left/>
      <right/>
      <top/>
      <bottom style="thick">
        <color rgb="FFDAD873"/>
      </bottom>
      <diagonal/>
    </border>
    <border>
      <left style="thin">
        <color rgb="FFDAD873"/>
      </left>
      <right/>
      <top/>
      <bottom/>
      <diagonal/>
    </border>
    <border>
      <left/>
      <right style="thin">
        <color rgb="FFDAD873"/>
      </right>
      <top/>
      <bottom/>
      <diagonal/>
    </border>
    <border>
      <left style="thin">
        <color rgb="FFDAD873"/>
      </left>
      <right/>
      <top/>
      <bottom style="thin">
        <color rgb="FFDAD873"/>
      </bottom>
      <diagonal/>
    </border>
    <border>
      <left/>
      <right/>
      <top/>
      <bottom style="thin">
        <color rgb="FFDAD873"/>
      </bottom>
      <diagonal/>
    </border>
    <border>
      <left/>
      <right style="thin">
        <color rgb="FFDAD873"/>
      </right>
      <top/>
      <bottom style="thin">
        <color rgb="FFDAD873"/>
      </bottom>
      <diagonal/>
    </border>
    <border>
      <left style="thin">
        <color rgb="FF454D66"/>
      </left>
      <right/>
      <top/>
      <bottom/>
      <diagonal/>
    </border>
    <border>
      <left/>
      <right style="thin">
        <color rgb="FF454D66"/>
      </right>
      <top/>
      <bottom/>
      <diagonal/>
    </border>
    <border>
      <left style="thin">
        <color rgb="FF454D66"/>
      </left>
      <right/>
      <top/>
      <bottom style="thin">
        <color rgb="FF454D66"/>
      </bottom>
      <diagonal/>
    </border>
    <border>
      <left/>
      <right/>
      <top/>
      <bottom style="thin">
        <color rgb="FF454D66"/>
      </bottom>
      <diagonal/>
    </border>
    <border>
      <left/>
      <right style="thin">
        <color rgb="FF454D66"/>
      </right>
      <top/>
      <bottom style="thin">
        <color rgb="FF454D66"/>
      </bottom>
      <diagonal/>
    </border>
    <border>
      <left/>
      <right/>
      <top/>
      <bottom style="thick">
        <color rgb="FF454D66"/>
      </bottom>
      <diagonal/>
    </border>
    <border>
      <left style="thin">
        <color rgb="FF58B368"/>
      </left>
      <right/>
      <top style="thick">
        <color rgb="FF58B368"/>
      </top>
      <bottom/>
      <diagonal/>
    </border>
    <border>
      <left/>
      <right style="thin">
        <color rgb="FF58B368"/>
      </right>
      <top style="thick">
        <color rgb="FF58B368"/>
      </top>
      <bottom/>
      <diagonal/>
    </border>
    <border>
      <left style="thin">
        <color rgb="FF454D66"/>
      </left>
      <right/>
      <top style="thick">
        <color rgb="FF454D66"/>
      </top>
      <bottom/>
      <diagonal/>
    </border>
    <border>
      <left/>
      <right/>
      <top style="thick">
        <color rgb="FF454D66"/>
      </top>
      <bottom/>
      <diagonal/>
    </border>
    <border>
      <left/>
      <right style="thin">
        <color rgb="FF454D66"/>
      </right>
      <top style="thick">
        <color rgb="FF454D66"/>
      </top>
      <bottom/>
      <diagonal/>
    </border>
    <border>
      <left style="thin">
        <color rgb="FFDAD873"/>
      </left>
      <right/>
      <top style="thick">
        <color rgb="FFDAD873"/>
      </top>
      <bottom/>
      <diagonal/>
    </border>
    <border>
      <left/>
      <right style="thin">
        <color rgb="FFDAD873"/>
      </right>
      <top style="thick">
        <color rgb="FFDAD873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454D66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165" fontId="0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0" fillId="0" borderId="3" xfId="0" applyBorder="1"/>
    <xf numFmtId="0" fontId="0" fillId="0" borderId="8" xfId="0" applyBorder="1"/>
    <xf numFmtId="0" fontId="0" fillId="0" borderId="0" xfId="0" applyBorder="1"/>
    <xf numFmtId="0" fontId="3" fillId="0" borderId="0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9" fillId="0" borderId="0" xfId="0" applyFont="1"/>
    <xf numFmtId="0" fontId="0" fillId="0" borderId="38" xfId="0" applyBorder="1"/>
    <xf numFmtId="167" fontId="0" fillId="0" borderId="0" xfId="0" applyNumberFormat="1"/>
    <xf numFmtId="0" fontId="0" fillId="0" borderId="39" xfId="0" applyBorder="1"/>
    <xf numFmtId="0" fontId="10" fillId="0" borderId="0" xfId="0" applyFont="1" applyBorder="1" applyAlignment="1">
      <alignment horizontal="left"/>
    </xf>
    <xf numFmtId="0" fontId="11" fillId="0" borderId="0" xfId="0" applyFont="1"/>
    <xf numFmtId="0" fontId="14" fillId="0" borderId="9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6" fontId="4" fillId="0" borderId="2" xfId="0" applyNumberFormat="1" applyFont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26" xfId="0" applyFont="1" applyBorder="1" applyAlignment="1">
      <alignment horizontal="center"/>
    </xf>
  </cellXfs>
  <cellStyles count="1">
    <cellStyle name="Normal" xfId="0" builtinId="0"/>
  </cellStyles>
  <dxfs count="48">
    <dxf>
      <numFmt numFmtId="167" formatCode="&quot;$&quot;#0.0,,\ &quot;M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167" formatCode="&quot;$&quot;#0.0,,\ &quot;M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7" formatCode="&quot;$&quot;#0.0,,\ &quot;M&quot;"/>
    </dxf>
    <dxf>
      <numFmt numFmtId="167" formatCode="&quot;$&quot;#0.0,,\ &quot;M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167" formatCode="&quot;$&quot;#0.0,,\ &quot;M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7" formatCode="&quot;$&quot;#0.0,,\ &quot;M&quot;"/>
    </dxf>
    <dxf>
      <numFmt numFmtId="167" formatCode="&quot;$&quot;#0.0,,\ &quot;M&quot;"/>
    </dxf>
    <dxf>
      <numFmt numFmtId="167" formatCode="&quot;$&quot;#0.0,,\ &quot;M&quot;"/>
    </dxf>
    <dxf>
      <numFmt numFmtId="0" formatCode="General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7" formatCode="&quot;$&quot;#0.0,,\ &quot;M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4"/>
        <color theme="0"/>
        <name val="Arial Black"/>
        <family val="2"/>
        <scheme val="none"/>
      </font>
      <fill>
        <patternFill>
          <bgColor rgb="FF454D6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Estilo de segmentación de datos 2" pivot="0" table="0" count="9" xr9:uid="{C3840DCA-C2AE-4AC7-A457-50147E1C5E53}">
      <tableStyleElement type="wholeTable" dxfId="47"/>
      <tableStyleElement type="headerRow" dxfId="46"/>
    </tableStyle>
  </tableStyles>
  <colors>
    <mruColors>
      <color rgb="FF58B368"/>
      <color rgb="FFEFEEB4"/>
      <color rgb="FF309975"/>
      <color rgb="FFFBA9CC"/>
      <color rgb="FF0066FF"/>
      <color rgb="FF454D66"/>
      <color rgb="FFDAD873"/>
      <color rgb="FFF4F1DE"/>
      <color rgb="FF8ECAE6"/>
      <color rgb="FF407097"/>
    </mruColors>
  </colors>
  <extLst>
    <ext xmlns:x14="http://schemas.microsoft.com/office/spreadsheetml/2009/9/main" uri="{46F421CA-312F-682f-3DD2-61675219B42D}">
      <x14:dxfs count="7">
        <dxf>
          <fill>
            <patternFill>
              <bgColor rgb="FF7030A0"/>
            </patternFill>
          </fill>
        </dxf>
        <dxf>
          <fill>
            <patternFill>
              <bgColor rgb="FF58B368"/>
            </patternFill>
          </fill>
        </dxf>
        <dxf>
          <fill>
            <patternFill>
              <bgColor rgb="FF58B368"/>
            </patternFill>
          </fill>
        </dxf>
        <dxf>
          <fill>
            <patternFill>
              <bgColor rgb="FF58B368"/>
            </patternFill>
          </fill>
        </dxf>
        <dxf>
          <font>
            <name val="Arial"/>
            <family val="2"/>
            <scheme val="none"/>
          </font>
          <fill>
            <patternFill>
              <bgColor rgb="FFEFEEB4"/>
            </patternFill>
          </fill>
        </dxf>
        <dxf>
          <fill>
            <patternFill>
              <bgColor theme="0"/>
            </patternFill>
          </fill>
        </dxf>
        <dxf>
          <font>
            <name val="Arial"/>
            <family val="2"/>
            <scheme val="none"/>
          </font>
          <fill>
            <patternFill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2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eetMetadata" Target="metadata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[VentasBogota.xlsx]Tablas Dinamicas!TablaDinámica2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454D66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Evoluci</a:t>
            </a:r>
            <a:r>
              <a:rPr lang="es-CO" sz="1400" b="1" i="0" u="none" strike="noStrike" baseline="0">
                <a:solidFill>
                  <a:srgbClr val="454D66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ón de Ventas por Año </a:t>
            </a:r>
            <a:endParaRPr lang="en-US" sz="1400" b="1">
              <a:solidFill>
                <a:srgbClr val="454D66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09975"/>
          </a:solidFill>
          <a:ln>
            <a:noFill/>
          </a:ln>
          <a:effectLst/>
        </c:spPr>
      </c:pivotFmt>
      <c:pivotFmt>
        <c:idx val="4"/>
        <c:spPr>
          <a:solidFill>
            <a:srgbClr val="58B368"/>
          </a:solidFill>
          <a:ln>
            <a:noFill/>
          </a:ln>
          <a:effectLst/>
        </c:spPr>
      </c:pivotFmt>
      <c:pivotFmt>
        <c:idx val="5"/>
        <c:spPr>
          <a:solidFill>
            <a:srgbClr val="DAD87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99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9F-40D4-B55A-5CF5651CD8A6}"/>
              </c:ext>
            </c:extLst>
          </c:dPt>
          <c:dPt>
            <c:idx val="1"/>
            <c:invertIfNegative val="0"/>
            <c:bubble3D val="0"/>
            <c:spPr>
              <a:solidFill>
                <a:srgbClr val="58B36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9F-40D4-B55A-5CF5651CD8A6}"/>
              </c:ext>
            </c:extLst>
          </c:dPt>
          <c:dPt>
            <c:idx val="2"/>
            <c:invertIfNegative val="0"/>
            <c:bubble3D val="0"/>
            <c:spPr>
              <a:solidFill>
                <a:srgbClr val="DAD8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9F-40D4-B55A-5CF5651CD8A6}"/>
              </c:ext>
            </c:extLst>
          </c:dPt>
          <c:dLbls>
            <c:numFmt formatCode="&quot;$&quot;#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Dinamicas'!$B$5:$B$8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'Tablas Dinamicas'!$C$5:$C$8</c:f>
              <c:numCache>
                <c:formatCode>"$"#0.0,,\ "M"</c:formatCode>
                <c:ptCount val="3"/>
                <c:pt idx="0">
                  <c:v>4502363</c:v>
                </c:pt>
                <c:pt idx="1">
                  <c:v>3869552</c:v>
                </c:pt>
                <c:pt idx="2">
                  <c:v>4233217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F-40D4-B55A-5CF5651CD8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41309135"/>
        <c:axId val="1441198767"/>
      </c:barChart>
      <c:catAx>
        <c:axId val="1341309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CO"/>
          </a:p>
        </c:txPr>
        <c:crossAx val="1441198767"/>
        <c:crosses val="autoZero"/>
        <c:auto val="1"/>
        <c:lblAlgn val="ctr"/>
        <c:lblOffset val="100"/>
        <c:noMultiLvlLbl val="0"/>
      </c:catAx>
      <c:valAx>
        <c:axId val="1441198767"/>
        <c:scaling>
          <c:orientation val="minMax"/>
        </c:scaling>
        <c:delete val="0"/>
        <c:axPos val="l"/>
        <c:numFmt formatCode="&quot;$&quot;#0.0,,\ &quot;M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CO"/>
          </a:p>
        </c:txPr>
        <c:crossAx val="134130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54D66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[VentasBogota.xlsx]Tablas Dinamicas!TablaDinámica3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454D66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5 productos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997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0997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997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Dinamicas'!$E$5:$E$10</c:f>
              <c:strCache>
                <c:ptCount val="5"/>
                <c:pt idx="0">
                  <c:v>Laptop</c:v>
                </c:pt>
                <c:pt idx="1">
                  <c:v>Memoria USB</c:v>
                </c:pt>
                <c:pt idx="2">
                  <c:v>Mouse</c:v>
                </c:pt>
                <c:pt idx="3">
                  <c:v>Impresora</c:v>
                </c:pt>
                <c:pt idx="4">
                  <c:v>Celular</c:v>
                </c:pt>
              </c:strCache>
            </c:strRef>
          </c:cat>
          <c:val>
            <c:numRef>
              <c:f>'Tablas Dinamicas'!$F$5:$F$10</c:f>
              <c:numCache>
                <c:formatCode>General</c:formatCode>
                <c:ptCount val="5"/>
                <c:pt idx="0">
                  <c:v>39</c:v>
                </c:pt>
                <c:pt idx="1">
                  <c:v>40</c:v>
                </c:pt>
                <c:pt idx="2">
                  <c:v>47</c:v>
                </c:pt>
                <c:pt idx="3">
                  <c:v>48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2-41C4-B926-38C5689EF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459255935"/>
        <c:axId val="1113040159"/>
      </c:barChart>
      <c:catAx>
        <c:axId val="14592559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CO"/>
          </a:p>
        </c:txPr>
        <c:crossAx val="1113040159"/>
        <c:crosses val="autoZero"/>
        <c:auto val="1"/>
        <c:lblAlgn val="ctr"/>
        <c:lblOffset val="100"/>
        <c:noMultiLvlLbl val="0"/>
      </c:catAx>
      <c:valAx>
        <c:axId val="1113040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925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54D66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[VentasBogota.xlsx]Tablas Dinamicas!TablaDinámica5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454D66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Ventas por Localidad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EFEEB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DAD873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3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30997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Dinamicas'!$K$4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02-49E8-89EB-27CB3D622E42}"/>
              </c:ext>
            </c:extLst>
          </c:dPt>
          <c:dPt>
            <c:idx val="1"/>
            <c:bubble3D val="0"/>
            <c:spPr>
              <a:solidFill>
                <a:srgbClr val="EFEEB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02-49E8-89EB-27CB3D622E42}"/>
              </c:ext>
            </c:extLst>
          </c:dPt>
          <c:dPt>
            <c:idx val="2"/>
            <c:bubble3D val="0"/>
            <c:spPr>
              <a:solidFill>
                <a:srgbClr val="DAD8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02-49E8-89EB-27CB3D622E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02-49E8-89EB-27CB3D622E42}"/>
              </c:ext>
            </c:extLst>
          </c:dPt>
          <c:dPt>
            <c:idx val="4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02-49E8-89EB-27CB3D622E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02-49E8-89EB-27CB3D622E42}"/>
              </c:ext>
            </c:extLst>
          </c:dPt>
          <c:dPt>
            <c:idx val="6"/>
            <c:bubble3D val="0"/>
            <c:spPr>
              <a:solidFill>
                <a:srgbClr val="3099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02-49E8-89EB-27CB3D622E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Dinamicas'!$J$5:$J$12</c:f>
              <c:strCache>
                <c:ptCount val="7"/>
                <c:pt idx="0">
                  <c:v>Chapinero</c:v>
                </c:pt>
                <c:pt idx="1">
                  <c:v>Engativá</c:v>
                </c:pt>
                <c:pt idx="2">
                  <c:v>Fontibón</c:v>
                </c:pt>
                <c:pt idx="3">
                  <c:v>Kennedy</c:v>
                </c:pt>
                <c:pt idx="4">
                  <c:v>Suba</c:v>
                </c:pt>
                <c:pt idx="5">
                  <c:v>Teusaquillo</c:v>
                </c:pt>
                <c:pt idx="6">
                  <c:v>Usaquén</c:v>
                </c:pt>
              </c:strCache>
            </c:strRef>
          </c:cat>
          <c:val>
            <c:numRef>
              <c:f>'Tablas Dinamicas'!$K$5:$K$12</c:f>
              <c:numCache>
                <c:formatCode>"$"#0.0,,\ "M"</c:formatCode>
                <c:ptCount val="7"/>
                <c:pt idx="0">
                  <c:v>2110135</c:v>
                </c:pt>
                <c:pt idx="1">
                  <c:v>1783681</c:v>
                </c:pt>
                <c:pt idx="2">
                  <c:v>1493602</c:v>
                </c:pt>
                <c:pt idx="3">
                  <c:v>1207317</c:v>
                </c:pt>
                <c:pt idx="4">
                  <c:v>1723792</c:v>
                </c:pt>
                <c:pt idx="5">
                  <c:v>2308762</c:v>
                </c:pt>
                <c:pt idx="6">
                  <c:v>1977843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702-49E8-89EB-27CB3D622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54D66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[VentasBogota.xlsx]Tablas Dinamicas!TablaDinámica9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454D66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Evoluci</a:t>
            </a:r>
            <a:r>
              <a:rPr lang="es-CO" sz="1400" b="1" i="0" u="none" strike="noStrike" kern="1200" spc="0" baseline="0">
                <a:solidFill>
                  <a:srgbClr val="454D66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ón de Ventas por Trimestre</a:t>
            </a:r>
            <a:endParaRPr lang="en-US" sz="1400" b="1" i="0" u="none" strike="noStrike" kern="1200" spc="0" baseline="0">
              <a:solidFill>
                <a:srgbClr val="454D66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9975"/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0"/>
          </a:sp3d>
        </c:spPr>
        <c:marker>
          <c:symbol val="none"/>
        </c:marker>
        <c:dLbl>
          <c:idx val="0"/>
          <c:numFmt formatCode="&quot;$&quot;#0.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Dinamicas'!$D$44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9975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0"/>
            </a:sp3d>
          </c:spPr>
          <c:invertIfNegative val="0"/>
          <c:dLbls>
            <c:numFmt formatCode="&quot;$&quot;#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DAD873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'Tablas Dinamicas'!$C$45:$C$57</c:f>
              <c:strCache>
                <c:ptCount val="12"/>
                <c:pt idx="0">
                  <c:v>T1-23</c:v>
                </c:pt>
                <c:pt idx="1">
                  <c:v>T1-24</c:v>
                </c:pt>
                <c:pt idx="2">
                  <c:v>T1-25</c:v>
                </c:pt>
                <c:pt idx="3">
                  <c:v>T2-23</c:v>
                </c:pt>
                <c:pt idx="4">
                  <c:v>T2-24</c:v>
                </c:pt>
                <c:pt idx="5">
                  <c:v>T2-25</c:v>
                </c:pt>
                <c:pt idx="6">
                  <c:v>T3-23</c:v>
                </c:pt>
                <c:pt idx="7">
                  <c:v>T3-24</c:v>
                </c:pt>
                <c:pt idx="8">
                  <c:v>T3-25</c:v>
                </c:pt>
                <c:pt idx="9">
                  <c:v>T4-23</c:v>
                </c:pt>
                <c:pt idx="10">
                  <c:v>T4-24</c:v>
                </c:pt>
                <c:pt idx="11">
                  <c:v>T4-25</c:v>
                </c:pt>
              </c:strCache>
            </c:strRef>
          </c:cat>
          <c:val>
            <c:numRef>
              <c:f>'Tablas Dinamicas'!$D$45:$D$57</c:f>
              <c:numCache>
                <c:formatCode>"$"#0.0,,\ "M"</c:formatCode>
                <c:ptCount val="12"/>
                <c:pt idx="0">
                  <c:v>1006238</c:v>
                </c:pt>
                <c:pt idx="1">
                  <c:v>1024795</c:v>
                </c:pt>
                <c:pt idx="2">
                  <c:v>1092261</c:v>
                </c:pt>
                <c:pt idx="3">
                  <c:v>1186006</c:v>
                </c:pt>
                <c:pt idx="4">
                  <c:v>805668</c:v>
                </c:pt>
                <c:pt idx="5">
                  <c:v>925111</c:v>
                </c:pt>
                <c:pt idx="6">
                  <c:v>1067991</c:v>
                </c:pt>
                <c:pt idx="7">
                  <c:v>1067946</c:v>
                </c:pt>
                <c:pt idx="8">
                  <c:v>1062105</c:v>
                </c:pt>
                <c:pt idx="9">
                  <c:v>1242128</c:v>
                </c:pt>
                <c:pt idx="10">
                  <c:v>971143</c:v>
                </c:pt>
                <c:pt idx="11">
                  <c:v>1153740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14-4306-8EB9-7FAEA8532F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801128015"/>
        <c:axId val="1762382479"/>
      </c:barChart>
      <c:catAx>
        <c:axId val="180112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CO"/>
          </a:p>
        </c:txPr>
        <c:crossAx val="1762382479"/>
        <c:crosses val="autoZero"/>
        <c:auto val="1"/>
        <c:lblAlgn val="ctr"/>
        <c:lblOffset val="100"/>
        <c:noMultiLvlLbl val="0"/>
      </c:catAx>
      <c:valAx>
        <c:axId val="1762382479"/>
        <c:scaling>
          <c:orientation val="minMax"/>
        </c:scaling>
        <c:delete val="0"/>
        <c:axPos val="l"/>
        <c:numFmt formatCode="&quot;$&quot;#0.0,,\ 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CO"/>
          </a:p>
        </c:txPr>
        <c:crossAx val="180112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454D66">
          <a:alpha val="99000"/>
        </a:srgb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229809</xdr:colOff>
      <xdr:row>31</xdr:row>
      <xdr:rowOff>13610</xdr:rowOff>
    </xdr:from>
    <xdr:to>
      <xdr:col>42</xdr:col>
      <xdr:colOff>217714</xdr:colOff>
      <xdr:row>46</xdr:row>
      <xdr:rowOff>190503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43E6BF5-A2F8-4D78-90CD-A945FEDD8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30</xdr:row>
      <xdr:rowOff>217716</xdr:rowOff>
    </xdr:from>
    <xdr:to>
      <xdr:col>24</xdr:col>
      <xdr:colOff>29766</xdr:colOff>
      <xdr:row>46</xdr:row>
      <xdr:rowOff>178593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53C0E2B-026B-41DA-BB1B-924871D27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0</xdr:colOff>
      <xdr:row>31</xdr:row>
      <xdr:rowOff>13610</xdr:rowOff>
    </xdr:from>
    <xdr:to>
      <xdr:col>64</xdr:col>
      <xdr:colOff>27215</xdr:colOff>
      <xdr:row>46</xdr:row>
      <xdr:rowOff>204109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30CAAA9-CB5E-40E2-8B94-36A484CD2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222251</xdr:colOff>
      <xdr:row>16</xdr:row>
      <xdr:rowOff>375376</xdr:rowOff>
    </xdr:from>
    <xdr:to>
      <xdr:col>11</xdr:col>
      <xdr:colOff>52917</xdr:colOff>
      <xdr:row>18</xdr:row>
      <xdr:rowOff>85609</xdr:rowOff>
    </xdr:to>
    <xdr:pic>
      <xdr:nvPicPr>
        <xdr:cNvPr id="20" name="Gráfico 19" descr="Comentario que gusta contorno">
          <a:extLst>
            <a:ext uri="{FF2B5EF4-FFF2-40B4-BE49-F238E27FC236}">
              <a16:creationId xmlns:a16="http://schemas.microsoft.com/office/drawing/2014/main" id="{3C44FFA3-7FBE-16A0-240A-15C18B398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499321" y="3947251"/>
          <a:ext cx="336682" cy="320428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27</xdr:row>
      <xdr:rowOff>0</xdr:rowOff>
    </xdr:from>
    <xdr:to>
      <xdr:col>11</xdr:col>
      <xdr:colOff>53129</xdr:colOff>
      <xdr:row>28</xdr:row>
      <xdr:rowOff>74414</xdr:rowOff>
    </xdr:to>
    <xdr:pic>
      <xdr:nvPicPr>
        <xdr:cNvPr id="22" name="Gráfico 21" descr="Comentario importante contorno">
          <a:extLst>
            <a:ext uri="{FF2B5EF4-FFF2-40B4-BE49-F238E27FC236}">
              <a16:creationId xmlns:a16="http://schemas.microsoft.com/office/drawing/2014/main" id="{843CA990-3605-5ACC-6675-A9EDA90BF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515195" y="6191250"/>
          <a:ext cx="321020" cy="297656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222251</xdr:colOff>
      <xdr:row>18</xdr:row>
      <xdr:rowOff>211666</xdr:rowOff>
    </xdr:from>
    <xdr:to>
      <xdr:col>11</xdr:col>
      <xdr:colOff>52917</xdr:colOff>
      <xdr:row>20</xdr:row>
      <xdr:rowOff>63498</xdr:rowOff>
    </xdr:to>
    <xdr:pic>
      <xdr:nvPicPr>
        <xdr:cNvPr id="23" name="Gráfico 22" descr="Comentario que gusta contorno">
          <a:extLst>
            <a:ext uri="{FF2B5EF4-FFF2-40B4-BE49-F238E27FC236}">
              <a16:creationId xmlns:a16="http://schemas.microsoft.com/office/drawing/2014/main" id="{186511EF-36D2-42D5-ABBE-BFA4F747F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39334" y="4783666"/>
          <a:ext cx="317499" cy="317499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222250</xdr:colOff>
      <xdr:row>20</xdr:row>
      <xdr:rowOff>211666</xdr:rowOff>
    </xdr:from>
    <xdr:to>
      <xdr:col>11</xdr:col>
      <xdr:colOff>52916</xdr:colOff>
      <xdr:row>22</xdr:row>
      <xdr:rowOff>63498</xdr:rowOff>
    </xdr:to>
    <xdr:pic>
      <xdr:nvPicPr>
        <xdr:cNvPr id="24" name="Gráfico 23" descr="Comentario que gusta contorno">
          <a:extLst>
            <a:ext uri="{FF2B5EF4-FFF2-40B4-BE49-F238E27FC236}">
              <a16:creationId xmlns:a16="http://schemas.microsoft.com/office/drawing/2014/main" id="{BE4B84BC-5727-45EA-ADAC-C0B765F44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39333" y="5249333"/>
          <a:ext cx="317499" cy="317499"/>
        </a:xfrm>
        <a:prstGeom prst="rect">
          <a:avLst/>
        </a:prstGeom>
      </xdr:spPr>
    </xdr:pic>
    <xdr:clientData/>
  </xdr:twoCellAnchor>
  <xdr:twoCellAnchor editAs="oneCell">
    <xdr:from>
      <xdr:col>9</xdr:col>
      <xdr:colOff>211667</xdr:colOff>
      <xdr:row>22</xdr:row>
      <xdr:rowOff>201084</xdr:rowOff>
    </xdr:from>
    <xdr:to>
      <xdr:col>11</xdr:col>
      <xdr:colOff>42333</xdr:colOff>
      <xdr:row>24</xdr:row>
      <xdr:rowOff>52916</xdr:rowOff>
    </xdr:to>
    <xdr:pic>
      <xdr:nvPicPr>
        <xdr:cNvPr id="25" name="Gráfico 24" descr="Comentario que gusta contorno">
          <a:extLst>
            <a:ext uri="{FF2B5EF4-FFF2-40B4-BE49-F238E27FC236}">
              <a16:creationId xmlns:a16="http://schemas.microsoft.com/office/drawing/2014/main" id="{6BB0A496-4198-4131-9365-6ACCB359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28750" y="5704417"/>
          <a:ext cx="317499" cy="317499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222250</xdr:colOff>
      <xdr:row>24</xdr:row>
      <xdr:rowOff>211666</xdr:rowOff>
    </xdr:from>
    <xdr:to>
      <xdr:col>11</xdr:col>
      <xdr:colOff>52916</xdr:colOff>
      <xdr:row>26</xdr:row>
      <xdr:rowOff>63498</xdr:rowOff>
    </xdr:to>
    <xdr:pic>
      <xdr:nvPicPr>
        <xdr:cNvPr id="26" name="Gráfico 25" descr="Comentario que gusta contorno">
          <a:extLst>
            <a:ext uri="{FF2B5EF4-FFF2-40B4-BE49-F238E27FC236}">
              <a16:creationId xmlns:a16="http://schemas.microsoft.com/office/drawing/2014/main" id="{BD6D4A8B-CF60-41A8-BD2D-C3B17EB8C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39333" y="6180666"/>
          <a:ext cx="317499" cy="317499"/>
        </a:xfrm>
        <a:prstGeom prst="rect">
          <a:avLst/>
        </a:prstGeom>
      </xdr:spPr>
    </xdr:pic>
    <xdr:clientData/>
  </xdr:twoCellAnchor>
  <xdr:twoCellAnchor editAs="oneCell">
    <xdr:from>
      <xdr:col>1</xdr:col>
      <xdr:colOff>237975</xdr:colOff>
      <xdr:row>16</xdr:row>
      <xdr:rowOff>99883</xdr:rowOff>
    </xdr:from>
    <xdr:to>
      <xdr:col>9</xdr:col>
      <xdr:colOff>119442</xdr:colOff>
      <xdr:row>26</xdr:row>
      <xdr:rowOff>145996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Localidad 1">
              <a:extLst>
                <a:ext uri="{FF2B5EF4-FFF2-40B4-BE49-F238E27FC236}">
                  <a16:creationId xmlns:a16="http://schemas.microsoft.com/office/drawing/2014/main" id="{E34B1945-51C5-1914-8CAC-65022A15E2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da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983" y="3671758"/>
              <a:ext cx="1905529" cy="24422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2116</xdr:colOff>
      <xdr:row>27</xdr:row>
      <xdr:rowOff>46159</xdr:rowOff>
    </xdr:from>
    <xdr:to>
      <xdr:col>9</xdr:col>
      <xdr:colOff>126999</xdr:colOff>
      <xdr:row>32</xdr:row>
      <xdr:rowOff>104179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Canal 1">
              <a:extLst>
                <a:ext uri="{FF2B5EF4-FFF2-40B4-BE49-F238E27FC236}">
                  <a16:creationId xmlns:a16="http://schemas.microsoft.com/office/drawing/2014/main" id="{E98E1E3F-A06F-F1D2-6418-28ED87281D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132" y="6237409"/>
              <a:ext cx="1895937" cy="11742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239486</xdr:colOff>
      <xdr:row>9</xdr:row>
      <xdr:rowOff>222251</xdr:rowOff>
    </xdr:from>
    <xdr:to>
      <xdr:col>9</xdr:col>
      <xdr:colOff>120953</xdr:colOff>
      <xdr:row>15</xdr:row>
      <xdr:rowOff>176893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Año 1">
              <a:extLst>
                <a:ext uri="{FF2B5EF4-FFF2-40B4-BE49-F238E27FC236}">
                  <a16:creationId xmlns:a16="http://schemas.microsoft.com/office/drawing/2014/main" id="{D7C17473-DC9D-6C08-7D72-E9F473F682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94" y="2231431"/>
              <a:ext cx="1905529" cy="129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25</xdr:col>
      <xdr:colOff>0</xdr:colOff>
      <xdr:row>15</xdr:row>
      <xdr:rowOff>3</xdr:rowOff>
    </xdr:from>
    <xdr:to>
      <xdr:col>64</xdr:col>
      <xdr:colOff>27215</xdr:colOff>
      <xdr:row>30</xdr:row>
      <xdr:rowOff>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B778A3-5D97-4EF8-8ED6-31CC664C2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3</xdr:col>
      <xdr:colOff>8847</xdr:colOff>
      <xdr:row>1</xdr:row>
      <xdr:rowOff>51614</xdr:rowOff>
    </xdr:from>
    <xdr:to>
      <xdr:col>8</xdr:col>
      <xdr:colOff>29765</xdr:colOff>
      <xdr:row>8</xdr:row>
      <xdr:rowOff>163710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0CE66F-E980-38DC-88A3-5AE6C29A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870" y="274856"/>
          <a:ext cx="1285958" cy="167479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" refreshedDate="45963.979457175927" createdVersion="8" refreshedVersion="8" minRefreshableVersion="3" recordCount="400" xr:uid="{65EC6FBC-BB51-4138-91D9-22D0E908F066}">
  <cacheSource type="worksheet">
    <worksheetSource name="Tabla1"/>
  </cacheSource>
  <cacheFields count="15">
    <cacheField name="ID Venta" numFmtId="165">
      <sharedItems containsSemiMixedTypes="0" containsString="0" containsNumber="1" containsInteger="1" minValue="1" maxValue="400"/>
    </cacheField>
    <cacheField name="Fecha" numFmtId="0">
      <sharedItems/>
    </cacheField>
    <cacheField name="Producto" numFmtId="0">
      <sharedItems count="10">
        <s v="Celular"/>
        <s v="Memoria USB"/>
        <s v="Impresora"/>
        <s v="Disco Duro"/>
        <s v="Mouse"/>
        <s v="Laptop"/>
        <s v="Tablet"/>
        <s v="Monitor"/>
        <s v="Auriculares"/>
        <s v="Teclado"/>
      </sharedItems>
    </cacheField>
    <cacheField name="Categoría" numFmtId="0">
      <sharedItems/>
    </cacheField>
    <cacheField name="Vendedor" numFmtId="0">
      <sharedItems/>
    </cacheField>
    <cacheField name="Localidad" numFmtId="0">
      <sharedItems count="7">
        <s v="Kennedy"/>
        <s v="Suba"/>
        <s v="Fontibón"/>
        <s v="Chapinero"/>
        <s v="Engativá"/>
        <s v="Usaquén"/>
        <s v="Teusaquillo"/>
      </sharedItems>
    </cacheField>
    <cacheField name="Canal" numFmtId="0">
      <sharedItems count="2">
        <s v="Tienda Física"/>
        <s v="Online"/>
      </sharedItems>
    </cacheField>
    <cacheField name="Cantidad Vendida" numFmtId="0">
      <sharedItems containsSemiMixedTypes="0" containsString="0" containsNumber="1" containsInteger="1" minValue="1" maxValue="25"/>
    </cacheField>
    <cacheField name="Precio Unitario" numFmtId="0">
      <sharedItems containsSemiMixedTypes="0" containsString="0" containsNumber="1" containsInteger="1" minValue="116" maxValue="4996"/>
    </cacheField>
    <cacheField name="Total Venta" numFmtId="0">
      <sharedItems containsSemiMixedTypes="0" containsString="0" containsNumber="1" containsInteger="1" minValue="339" maxValue="124900"/>
    </cacheField>
    <cacheField name="Mes" numFmtId="0">
      <sharedItems/>
    </cacheField>
    <cacheField name="Dia" numFmtId="0">
      <sharedItems/>
    </cacheField>
    <cacheField name="Año" numFmtId="0">
      <sharedItems count="3">
        <s v="2023"/>
        <s v="2025"/>
        <s v="2024"/>
      </sharedItems>
    </cacheField>
    <cacheField name="Digito Mes" numFmtId="0">
      <sharedItems containsSemiMixedTypes="0" containsString="0" containsNumber="1" containsInteger="1" minValue="1" maxValue="12"/>
    </cacheField>
    <cacheField name="Trimestre" numFmtId="0">
      <sharedItems count="12">
        <s v="T3-23"/>
        <s v="T3-25"/>
        <s v="T4-23"/>
        <s v="T1-25"/>
        <s v="T2-24"/>
        <s v="T2-25"/>
        <s v="T3-24"/>
        <s v="T1-24"/>
        <s v="T4-25"/>
        <s v="T2-23"/>
        <s v="T4-24"/>
        <s v="T1-23"/>
      </sharedItems>
    </cacheField>
  </cacheFields>
  <extLst>
    <ext xmlns:x14="http://schemas.microsoft.com/office/spreadsheetml/2009/9/main" uri="{725AE2AE-9491-48be-B2B4-4EB974FC3084}">
      <x14:pivotCacheDefinition pivotCacheId="14326927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1"/>
    <s v="2023-08-23"/>
    <x v="0"/>
    <s v="Telefonía"/>
    <s v="Juan Hernández"/>
    <x v="0"/>
    <x v="0"/>
    <n v="12"/>
    <n v="1778"/>
    <n v="21336"/>
    <s v="August"/>
    <s v="23"/>
    <x v="0"/>
    <n v="8"/>
    <x v="0"/>
  </r>
  <r>
    <n v="2"/>
    <s v="2025-07-22"/>
    <x v="1"/>
    <s v="Accesorios"/>
    <s v="Juan Hernández"/>
    <x v="1"/>
    <x v="0"/>
    <n v="9"/>
    <n v="4169"/>
    <n v="37521"/>
    <s v="July"/>
    <s v="22"/>
    <x v="1"/>
    <n v="7"/>
    <x v="1"/>
  </r>
  <r>
    <n v="3"/>
    <s v="2023-11-04"/>
    <x v="2"/>
    <s v="Periféricos"/>
    <s v="María López"/>
    <x v="2"/>
    <x v="1"/>
    <n v="22"/>
    <n v="4088"/>
    <n v="89936"/>
    <s v="November"/>
    <s v="04"/>
    <x v="0"/>
    <n v="11"/>
    <x v="2"/>
  </r>
  <r>
    <n v="4"/>
    <s v="2025-09-29"/>
    <x v="3"/>
    <s v="Almacenamiento"/>
    <s v="Juan Hernández"/>
    <x v="3"/>
    <x v="0"/>
    <n v="3"/>
    <n v="1909"/>
    <n v="5727"/>
    <s v="September"/>
    <s v="29"/>
    <x v="1"/>
    <n v="9"/>
    <x v="1"/>
  </r>
  <r>
    <n v="5"/>
    <s v="2025-02-19"/>
    <x v="4"/>
    <s v="Accesorios"/>
    <s v="María López"/>
    <x v="3"/>
    <x v="1"/>
    <n v="20"/>
    <n v="1092"/>
    <n v="21840"/>
    <s v="February"/>
    <s v="19"/>
    <x v="1"/>
    <n v="2"/>
    <x v="3"/>
  </r>
  <r>
    <n v="6"/>
    <s v="2024-04-10"/>
    <x v="3"/>
    <s v="Almacenamiento"/>
    <s v="Carlos Gómez"/>
    <x v="4"/>
    <x v="0"/>
    <n v="21"/>
    <n v="4473"/>
    <n v="93933"/>
    <s v="April"/>
    <s v="10"/>
    <x v="2"/>
    <n v="4"/>
    <x v="4"/>
  </r>
  <r>
    <n v="7"/>
    <s v="2025-05-05"/>
    <x v="4"/>
    <s v="Accesorios"/>
    <s v="Juan Hernández"/>
    <x v="5"/>
    <x v="1"/>
    <n v="5"/>
    <n v="2863"/>
    <n v="14315"/>
    <s v="May"/>
    <s v="05"/>
    <x v="1"/>
    <n v="5"/>
    <x v="5"/>
  </r>
  <r>
    <n v="8"/>
    <s v="2024-07-15"/>
    <x v="5"/>
    <s v="Computadores"/>
    <s v="Carlos Gómez"/>
    <x v="4"/>
    <x v="1"/>
    <n v="2"/>
    <n v="4228"/>
    <n v="8456"/>
    <s v="July"/>
    <s v="15"/>
    <x v="2"/>
    <n v="7"/>
    <x v="6"/>
  </r>
  <r>
    <n v="9"/>
    <s v="2024-03-28"/>
    <x v="0"/>
    <s v="Telefonía"/>
    <s v="María López"/>
    <x v="3"/>
    <x v="0"/>
    <n v="15"/>
    <n v="4814"/>
    <n v="72210"/>
    <s v="March"/>
    <s v="28"/>
    <x v="2"/>
    <n v="3"/>
    <x v="7"/>
  </r>
  <r>
    <n v="10"/>
    <s v="2023-08-14"/>
    <x v="1"/>
    <s v="Accesorios"/>
    <s v="Ana Pérez"/>
    <x v="6"/>
    <x v="1"/>
    <n v="17"/>
    <n v="3882"/>
    <n v="65994"/>
    <s v="August"/>
    <s v="14"/>
    <x v="0"/>
    <n v="8"/>
    <x v="0"/>
  </r>
  <r>
    <n v="11"/>
    <s v="2025-07-10"/>
    <x v="1"/>
    <s v="Accesorios"/>
    <s v="Laura Torres"/>
    <x v="4"/>
    <x v="0"/>
    <n v="9"/>
    <n v="3052"/>
    <n v="27468"/>
    <s v="July"/>
    <s v="10"/>
    <x v="1"/>
    <n v="7"/>
    <x v="1"/>
  </r>
  <r>
    <n v="12"/>
    <s v="2025-04-30"/>
    <x v="6"/>
    <s v="Computadores"/>
    <s v="Carlos Gómez"/>
    <x v="4"/>
    <x v="1"/>
    <n v="6"/>
    <n v="3210"/>
    <n v="19260"/>
    <s v="April"/>
    <s v="30"/>
    <x v="1"/>
    <n v="4"/>
    <x v="5"/>
  </r>
  <r>
    <n v="13"/>
    <s v="2025-09-02"/>
    <x v="6"/>
    <s v="Computadores"/>
    <s v="Ana Pérez"/>
    <x v="2"/>
    <x v="0"/>
    <n v="15"/>
    <n v="4285"/>
    <n v="64275"/>
    <s v="September"/>
    <s v="02"/>
    <x v="1"/>
    <n v="9"/>
    <x v="1"/>
  </r>
  <r>
    <n v="14"/>
    <s v="2025-04-29"/>
    <x v="7"/>
    <s v="Periféricos"/>
    <s v="Pedro Ramírez"/>
    <x v="0"/>
    <x v="0"/>
    <n v="6"/>
    <n v="4233"/>
    <n v="25398"/>
    <s v="April"/>
    <s v="29"/>
    <x v="1"/>
    <n v="4"/>
    <x v="5"/>
  </r>
  <r>
    <n v="15"/>
    <s v="2025-01-13"/>
    <x v="6"/>
    <s v="Computadores"/>
    <s v="Diana Morales"/>
    <x v="0"/>
    <x v="0"/>
    <n v="10"/>
    <n v="4627"/>
    <n v="46270"/>
    <s v="January"/>
    <s v="13"/>
    <x v="1"/>
    <n v="1"/>
    <x v="3"/>
  </r>
  <r>
    <n v="16"/>
    <s v="2025-12-10"/>
    <x v="6"/>
    <s v="Computadores"/>
    <s v="Pedro Ramírez"/>
    <x v="1"/>
    <x v="0"/>
    <n v="11"/>
    <n v="1366"/>
    <n v="15026"/>
    <s v="December"/>
    <s v="10"/>
    <x v="1"/>
    <n v="12"/>
    <x v="8"/>
  </r>
  <r>
    <n v="17"/>
    <s v="2023-05-27"/>
    <x v="0"/>
    <s v="Telefonía"/>
    <s v="Juan Hernández"/>
    <x v="1"/>
    <x v="0"/>
    <n v="16"/>
    <n v="1344"/>
    <n v="21504"/>
    <s v="May"/>
    <s v="27"/>
    <x v="0"/>
    <n v="5"/>
    <x v="9"/>
  </r>
  <r>
    <n v="18"/>
    <s v="2025-01-26"/>
    <x v="6"/>
    <s v="Computadores"/>
    <s v="Ana Pérez"/>
    <x v="6"/>
    <x v="1"/>
    <n v="11"/>
    <n v="2482"/>
    <n v="27302"/>
    <s v="January"/>
    <s v="26"/>
    <x v="1"/>
    <n v="1"/>
    <x v="3"/>
  </r>
  <r>
    <n v="19"/>
    <s v="2023-07-26"/>
    <x v="4"/>
    <s v="Accesorios"/>
    <s v="Carlos Gómez"/>
    <x v="4"/>
    <x v="1"/>
    <n v="18"/>
    <n v="4861"/>
    <n v="87498"/>
    <s v="July"/>
    <s v="26"/>
    <x v="0"/>
    <n v="7"/>
    <x v="0"/>
  </r>
  <r>
    <n v="20"/>
    <s v="2023-04-12"/>
    <x v="5"/>
    <s v="Computadores"/>
    <s v="Miguel Vargas"/>
    <x v="2"/>
    <x v="0"/>
    <n v="19"/>
    <n v="1277"/>
    <n v="24263"/>
    <s v="April"/>
    <s v="12"/>
    <x v="0"/>
    <n v="4"/>
    <x v="9"/>
  </r>
  <r>
    <n v="21"/>
    <s v="2025-08-10"/>
    <x v="5"/>
    <s v="Computadores"/>
    <s v="Juan Hernández"/>
    <x v="1"/>
    <x v="0"/>
    <n v="2"/>
    <n v="3737"/>
    <n v="7474"/>
    <s v="August"/>
    <s v="10"/>
    <x v="1"/>
    <n v="8"/>
    <x v="1"/>
  </r>
  <r>
    <n v="22"/>
    <s v="2023-09-25"/>
    <x v="3"/>
    <s v="Almacenamiento"/>
    <s v="Luis Castillo"/>
    <x v="4"/>
    <x v="1"/>
    <n v="15"/>
    <n v="1606"/>
    <n v="24090"/>
    <s v="September"/>
    <s v="25"/>
    <x v="0"/>
    <n v="9"/>
    <x v="0"/>
  </r>
  <r>
    <n v="23"/>
    <s v="2024-03-08"/>
    <x v="5"/>
    <s v="Computadores"/>
    <s v="María López"/>
    <x v="1"/>
    <x v="1"/>
    <n v="11"/>
    <n v="4852"/>
    <n v="53372"/>
    <s v="March"/>
    <s v="08"/>
    <x v="2"/>
    <n v="3"/>
    <x v="7"/>
  </r>
  <r>
    <n v="24"/>
    <s v="2024-11-02"/>
    <x v="5"/>
    <s v="Computadores"/>
    <s v="María López"/>
    <x v="4"/>
    <x v="1"/>
    <n v="3"/>
    <n v="4465"/>
    <n v="13395"/>
    <s v="November"/>
    <s v="02"/>
    <x v="2"/>
    <n v="11"/>
    <x v="10"/>
  </r>
  <r>
    <n v="25"/>
    <s v="2025-05-09"/>
    <x v="3"/>
    <s v="Almacenamiento"/>
    <s v="Ana Pérez"/>
    <x v="1"/>
    <x v="0"/>
    <n v="4"/>
    <n v="2928"/>
    <n v="11712"/>
    <s v="May"/>
    <s v="09"/>
    <x v="1"/>
    <n v="5"/>
    <x v="5"/>
  </r>
  <r>
    <n v="26"/>
    <s v="2023-08-10"/>
    <x v="8"/>
    <s v="Accesorios"/>
    <s v="Ana Pérez"/>
    <x v="1"/>
    <x v="0"/>
    <n v="20"/>
    <n v="1689"/>
    <n v="33780"/>
    <s v="August"/>
    <s v="10"/>
    <x v="0"/>
    <n v="8"/>
    <x v="0"/>
  </r>
  <r>
    <n v="27"/>
    <s v="2024-11-10"/>
    <x v="2"/>
    <s v="Periféricos"/>
    <s v="Luis Castillo"/>
    <x v="0"/>
    <x v="0"/>
    <n v="19"/>
    <n v="695"/>
    <n v="13205"/>
    <s v="November"/>
    <s v="10"/>
    <x v="2"/>
    <n v="11"/>
    <x v="10"/>
  </r>
  <r>
    <n v="28"/>
    <s v="2024-05-28"/>
    <x v="9"/>
    <s v="Accesorios"/>
    <s v="Laura Torres"/>
    <x v="3"/>
    <x v="0"/>
    <n v="23"/>
    <n v="3852"/>
    <n v="88596"/>
    <s v="May"/>
    <s v="28"/>
    <x v="2"/>
    <n v="5"/>
    <x v="4"/>
  </r>
  <r>
    <n v="29"/>
    <s v="2023-05-21"/>
    <x v="0"/>
    <s v="Telefonía"/>
    <s v="Carlos Gómez"/>
    <x v="3"/>
    <x v="0"/>
    <n v="11"/>
    <n v="3903"/>
    <n v="42933"/>
    <s v="May"/>
    <s v="21"/>
    <x v="0"/>
    <n v="5"/>
    <x v="9"/>
  </r>
  <r>
    <n v="30"/>
    <s v="2025-10-18"/>
    <x v="4"/>
    <s v="Accesorios"/>
    <s v="Sofía Rodríguez"/>
    <x v="1"/>
    <x v="1"/>
    <n v="10"/>
    <n v="666"/>
    <n v="6660"/>
    <s v="October"/>
    <s v="18"/>
    <x v="1"/>
    <n v="10"/>
    <x v="8"/>
  </r>
  <r>
    <n v="31"/>
    <s v="2025-05-08"/>
    <x v="7"/>
    <s v="Periféricos"/>
    <s v="Carlos Gómez"/>
    <x v="5"/>
    <x v="0"/>
    <n v="10"/>
    <n v="4832"/>
    <n v="48320"/>
    <s v="May"/>
    <s v="08"/>
    <x v="1"/>
    <n v="5"/>
    <x v="5"/>
  </r>
  <r>
    <n v="32"/>
    <s v="2025-05-26"/>
    <x v="6"/>
    <s v="Computadores"/>
    <s v="Luis Castillo"/>
    <x v="6"/>
    <x v="0"/>
    <n v="7"/>
    <n v="633"/>
    <n v="4431"/>
    <s v="May"/>
    <s v="26"/>
    <x v="1"/>
    <n v="5"/>
    <x v="5"/>
  </r>
  <r>
    <n v="33"/>
    <s v="2024-02-14"/>
    <x v="3"/>
    <s v="Almacenamiento"/>
    <s v="Sofía Rodríguez"/>
    <x v="5"/>
    <x v="0"/>
    <n v="2"/>
    <n v="576"/>
    <n v="1152"/>
    <s v="February"/>
    <s v="14"/>
    <x v="2"/>
    <n v="2"/>
    <x v="7"/>
  </r>
  <r>
    <n v="34"/>
    <s v="2024-10-19"/>
    <x v="0"/>
    <s v="Telefonía"/>
    <s v="Pedro Ramírez"/>
    <x v="4"/>
    <x v="1"/>
    <n v="4"/>
    <n v="3780"/>
    <n v="15120"/>
    <s v="October"/>
    <s v="19"/>
    <x v="2"/>
    <n v="10"/>
    <x v="10"/>
  </r>
  <r>
    <n v="35"/>
    <s v="2023-09-08"/>
    <x v="8"/>
    <s v="Accesorios"/>
    <s v="Pedro Ramírez"/>
    <x v="1"/>
    <x v="1"/>
    <n v="1"/>
    <n v="1694"/>
    <n v="1694"/>
    <s v="September"/>
    <s v="08"/>
    <x v="0"/>
    <n v="9"/>
    <x v="0"/>
  </r>
  <r>
    <n v="36"/>
    <s v="2025-04-15"/>
    <x v="8"/>
    <s v="Accesorios"/>
    <s v="Luis Castillo"/>
    <x v="5"/>
    <x v="0"/>
    <n v="20"/>
    <n v="1668"/>
    <n v="33360"/>
    <s v="April"/>
    <s v="15"/>
    <x v="1"/>
    <n v="4"/>
    <x v="5"/>
  </r>
  <r>
    <n v="37"/>
    <s v="2023-07-14"/>
    <x v="0"/>
    <s v="Telefonía"/>
    <s v="Miguel Vargas"/>
    <x v="3"/>
    <x v="1"/>
    <n v="21"/>
    <n v="3283"/>
    <n v="68943"/>
    <s v="July"/>
    <s v="14"/>
    <x v="0"/>
    <n v="7"/>
    <x v="0"/>
  </r>
  <r>
    <n v="38"/>
    <s v="2025-11-09"/>
    <x v="9"/>
    <s v="Accesorios"/>
    <s v="Ana Pérez"/>
    <x v="2"/>
    <x v="1"/>
    <n v="16"/>
    <n v="922"/>
    <n v="14752"/>
    <s v="November"/>
    <s v="09"/>
    <x v="1"/>
    <n v="11"/>
    <x v="8"/>
  </r>
  <r>
    <n v="39"/>
    <s v="2024-03-15"/>
    <x v="1"/>
    <s v="Accesorios"/>
    <s v="María López"/>
    <x v="3"/>
    <x v="1"/>
    <n v="4"/>
    <n v="178"/>
    <n v="712"/>
    <s v="March"/>
    <s v="15"/>
    <x v="2"/>
    <n v="3"/>
    <x v="7"/>
  </r>
  <r>
    <n v="40"/>
    <s v="2025-11-02"/>
    <x v="3"/>
    <s v="Almacenamiento"/>
    <s v="Laura Torres"/>
    <x v="6"/>
    <x v="0"/>
    <n v="11"/>
    <n v="672"/>
    <n v="7392"/>
    <s v="November"/>
    <s v="02"/>
    <x v="1"/>
    <n v="11"/>
    <x v="8"/>
  </r>
  <r>
    <n v="41"/>
    <s v="2023-11-01"/>
    <x v="7"/>
    <s v="Periféricos"/>
    <s v="Laura Torres"/>
    <x v="6"/>
    <x v="1"/>
    <n v="9"/>
    <n v="1454"/>
    <n v="13086"/>
    <s v="November"/>
    <s v="01"/>
    <x v="0"/>
    <n v="11"/>
    <x v="2"/>
  </r>
  <r>
    <n v="42"/>
    <s v="2024-06-09"/>
    <x v="3"/>
    <s v="Almacenamiento"/>
    <s v="Laura Torres"/>
    <x v="5"/>
    <x v="1"/>
    <n v="18"/>
    <n v="358"/>
    <n v="6444"/>
    <s v="June"/>
    <s v="09"/>
    <x v="2"/>
    <n v="6"/>
    <x v="4"/>
  </r>
  <r>
    <n v="43"/>
    <s v="2025-03-04"/>
    <x v="2"/>
    <s v="Periféricos"/>
    <s v="María López"/>
    <x v="2"/>
    <x v="0"/>
    <n v="5"/>
    <n v="376"/>
    <n v="1880"/>
    <s v="March"/>
    <s v="04"/>
    <x v="1"/>
    <n v="3"/>
    <x v="3"/>
  </r>
  <r>
    <n v="44"/>
    <s v="2023-05-19"/>
    <x v="6"/>
    <s v="Computadores"/>
    <s v="Diana Morales"/>
    <x v="6"/>
    <x v="1"/>
    <n v="24"/>
    <n v="1981"/>
    <n v="47544"/>
    <s v="May"/>
    <s v="19"/>
    <x v="0"/>
    <n v="5"/>
    <x v="9"/>
  </r>
  <r>
    <n v="45"/>
    <s v="2023-09-15"/>
    <x v="8"/>
    <s v="Accesorios"/>
    <s v="Sofía Rodríguez"/>
    <x v="1"/>
    <x v="0"/>
    <n v="3"/>
    <n v="282"/>
    <n v="846"/>
    <s v="September"/>
    <s v="15"/>
    <x v="0"/>
    <n v="9"/>
    <x v="0"/>
  </r>
  <r>
    <n v="46"/>
    <s v="2024-12-19"/>
    <x v="2"/>
    <s v="Periféricos"/>
    <s v="Sofía Rodríguez"/>
    <x v="5"/>
    <x v="1"/>
    <n v="13"/>
    <n v="1879"/>
    <n v="24427"/>
    <s v="December"/>
    <s v="19"/>
    <x v="2"/>
    <n v="12"/>
    <x v="10"/>
  </r>
  <r>
    <n v="47"/>
    <s v="2025-12-31"/>
    <x v="7"/>
    <s v="Periféricos"/>
    <s v="Pedro Ramírez"/>
    <x v="2"/>
    <x v="1"/>
    <n v="14"/>
    <n v="1748"/>
    <n v="24472"/>
    <s v="December"/>
    <s v="31"/>
    <x v="1"/>
    <n v="12"/>
    <x v="8"/>
  </r>
  <r>
    <n v="48"/>
    <s v="2025-04-20"/>
    <x v="5"/>
    <s v="Computadores"/>
    <s v="Juan Hernández"/>
    <x v="4"/>
    <x v="0"/>
    <n v="11"/>
    <n v="2574"/>
    <n v="28314"/>
    <s v="April"/>
    <s v="20"/>
    <x v="1"/>
    <n v="4"/>
    <x v="5"/>
  </r>
  <r>
    <n v="49"/>
    <s v="2025-09-18"/>
    <x v="4"/>
    <s v="Accesorios"/>
    <s v="Luis Castillo"/>
    <x v="6"/>
    <x v="1"/>
    <n v="19"/>
    <n v="4676"/>
    <n v="88844"/>
    <s v="September"/>
    <s v="18"/>
    <x v="1"/>
    <n v="9"/>
    <x v="1"/>
  </r>
  <r>
    <n v="50"/>
    <s v="2023-01-09"/>
    <x v="8"/>
    <s v="Accesorios"/>
    <s v="Diana Morales"/>
    <x v="6"/>
    <x v="0"/>
    <n v="16"/>
    <n v="1269"/>
    <n v="20304"/>
    <s v="January"/>
    <s v="09"/>
    <x v="0"/>
    <n v="1"/>
    <x v="11"/>
  </r>
  <r>
    <n v="51"/>
    <s v="2024-03-12"/>
    <x v="9"/>
    <s v="Accesorios"/>
    <s v="Luis Castillo"/>
    <x v="2"/>
    <x v="1"/>
    <n v="14"/>
    <n v="3238"/>
    <n v="45332"/>
    <s v="March"/>
    <s v="12"/>
    <x v="2"/>
    <n v="3"/>
    <x v="7"/>
  </r>
  <r>
    <n v="52"/>
    <s v="2025-03-08"/>
    <x v="7"/>
    <s v="Periféricos"/>
    <s v="Ana Pérez"/>
    <x v="5"/>
    <x v="1"/>
    <n v="2"/>
    <n v="2181"/>
    <n v="4362"/>
    <s v="March"/>
    <s v="08"/>
    <x v="1"/>
    <n v="3"/>
    <x v="3"/>
  </r>
  <r>
    <n v="53"/>
    <s v="2024-10-20"/>
    <x v="0"/>
    <s v="Telefonía"/>
    <s v="Pedro Ramírez"/>
    <x v="5"/>
    <x v="0"/>
    <n v="24"/>
    <n v="4375"/>
    <n v="105000"/>
    <s v="October"/>
    <s v="20"/>
    <x v="2"/>
    <n v="10"/>
    <x v="10"/>
  </r>
  <r>
    <n v="54"/>
    <s v="2024-06-09"/>
    <x v="6"/>
    <s v="Computadores"/>
    <s v="Pedro Ramírez"/>
    <x v="4"/>
    <x v="1"/>
    <n v="20"/>
    <n v="1685"/>
    <n v="33700"/>
    <s v="June"/>
    <s v="09"/>
    <x v="2"/>
    <n v="6"/>
    <x v="4"/>
  </r>
  <r>
    <n v="55"/>
    <s v="2025-06-12"/>
    <x v="0"/>
    <s v="Telefonía"/>
    <s v="María López"/>
    <x v="2"/>
    <x v="0"/>
    <n v="1"/>
    <n v="3686"/>
    <n v="3686"/>
    <s v="June"/>
    <s v="12"/>
    <x v="1"/>
    <n v="6"/>
    <x v="5"/>
  </r>
  <r>
    <n v="56"/>
    <s v="2025-07-15"/>
    <x v="8"/>
    <s v="Accesorios"/>
    <s v="Pedro Ramírez"/>
    <x v="5"/>
    <x v="1"/>
    <n v="24"/>
    <n v="4202"/>
    <n v="100848"/>
    <s v="July"/>
    <s v="15"/>
    <x v="1"/>
    <n v="7"/>
    <x v="1"/>
  </r>
  <r>
    <n v="57"/>
    <s v="2025-05-19"/>
    <x v="5"/>
    <s v="Computadores"/>
    <s v="Diana Morales"/>
    <x v="3"/>
    <x v="0"/>
    <n v="10"/>
    <n v="2713"/>
    <n v="27130"/>
    <s v="May"/>
    <s v="19"/>
    <x v="1"/>
    <n v="5"/>
    <x v="5"/>
  </r>
  <r>
    <n v="58"/>
    <s v="2023-04-22"/>
    <x v="4"/>
    <s v="Accesorios"/>
    <s v="Luis Castillo"/>
    <x v="0"/>
    <x v="1"/>
    <n v="10"/>
    <n v="2209"/>
    <n v="22090"/>
    <s v="April"/>
    <s v="22"/>
    <x v="0"/>
    <n v="4"/>
    <x v="9"/>
  </r>
  <r>
    <n v="59"/>
    <s v="2023-10-21"/>
    <x v="4"/>
    <s v="Accesorios"/>
    <s v="Diana Morales"/>
    <x v="3"/>
    <x v="0"/>
    <n v="13"/>
    <n v="2381"/>
    <n v="30953"/>
    <s v="October"/>
    <s v="21"/>
    <x v="0"/>
    <n v="10"/>
    <x v="2"/>
  </r>
  <r>
    <n v="60"/>
    <s v="2024-11-17"/>
    <x v="0"/>
    <s v="Telefonía"/>
    <s v="Luis Castillo"/>
    <x v="1"/>
    <x v="0"/>
    <n v="15"/>
    <n v="4392"/>
    <n v="65880"/>
    <s v="November"/>
    <s v="17"/>
    <x v="2"/>
    <n v="11"/>
    <x v="10"/>
  </r>
  <r>
    <n v="61"/>
    <s v="2025-04-24"/>
    <x v="9"/>
    <s v="Accesorios"/>
    <s v="Laura Torres"/>
    <x v="2"/>
    <x v="1"/>
    <n v="4"/>
    <n v="4544"/>
    <n v="18176"/>
    <s v="April"/>
    <s v="24"/>
    <x v="1"/>
    <n v="4"/>
    <x v="5"/>
  </r>
  <r>
    <n v="62"/>
    <s v="2024-10-22"/>
    <x v="3"/>
    <s v="Almacenamiento"/>
    <s v="Ana Pérez"/>
    <x v="6"/>
    <x v="1"/>
    <n v="7"/>
    <n v="4114"/>
    <n v="28798"/>
    <s v="October"/>
    <s v="22"/>
    <x v="2"/>
    <n v="10"/>
    <x v="10"/>
  </r>
  <r>
    <n v="63"/>
    <s v="2024-03-23"/>
    <x v="6"/>
    <s v="Computadores"/>
    <s v="Miguel Vargas"/>
    <x v="3"/>
    <x v="1"/>
    <n v="19"/>
    <n v="4639"/>
    <n v="88141"/>
    <s v="March"/>
    <s v="23"/>
    <x v="2"/>
    <n v="3"/>
    <x v="7"/>
  </r>
  <r>
    <n v="64"/>
    <s v="2025-02-11"/>
    <x v="2"/>
    <s v="Periféricos"/>
    <s v="Diana Morales"/>
    <x v="3"/>
    <x v="1"/>
    <n v="4"/>
    <n v="277"/>
    <n v="1108"/>
    <s v="February"/>
    <s v="11"/>
    <x v="1"/>
    <n v="2"/>
    <x v="3"/>
  </r>
  <r>
    <n v="65"/>
    <s v="2023-06-04"/>
    <x v="0"/>
    <s v="Telefonía"/>
    <s v="Miguel Vargas"/>
    <x v="0"/>
    <x v="0"/>
    <n v="25"/>
    <n v="3465"/>
    <n v="86625"/>
    <s v="June"/>
    <s v="04"/>
    <x v="0"/>
    <n v="6"/>
    <x v="9"/>
  </r>
  <r>
    <n v="66"/>
    <s v="2023-07-27"/>
    <x v="2"/>
    <s v="Periféricos"/>
    <s v="Ana Pérez"/>
    <x v="5"/>
    <x v="0"/>
    <n v="5"/>
    <n v="3385"/>
    <n v="16925"/>
    <s v="July"/>
    <s v="27"/>
    <x v="0"/>
    <n v="7"/>
    <x v="0"/>
  </r>
  <r>
    <n v="67"/>
    <s v="2025-10-28"/>
    <x v="9"/>
    <s v="Accesorios"/>
    <s v="Diana Morales"/>
    <x v="4"/>
    <x v="1"/>
    <n v="12"/>
    <n v="538"/>
    <n v="6456"/>
    <s v="October"/>
    <s v="28"/>
    <x v="1"/>
    <n v="10"/>
    <x v="8"/>
  </r>
  <r>
    <n v="68"/>
    <s v="2025-12-27"/>
    <x v="3"/>
    <s v="Almacenamiento"/>
    <s v="Carlos Gómez"/>
    <x v="5"/>
    <x v="0"/>
    <n v="15"/>
    <n v="4641"/>
    <n v="69615"/>
    <s v="December"/>
    <s v="27"/>
    <x v="1"/>
    <n v="12"/>
    <x v="8"/>
  </r>
  <r>
    <n v="69"/>
    <s v="2025-04-09"/>
    <x v="2"/>
    <s v="Periféricos"/>
    <s v="Sofía Rodríguez"/>
    <x v="4"/>
    <x v="1"/>
    <n v="16"/>
    <n v="522"/>
    <n v="8352"/>
    <s v="April"/>
    <s v="09"/>
    <x v="1"/>
    <n v="4"/>
    <x v="5"/>
  </r>
  <r>
    <n v="70"/>
    <s v="2023-09-04"/>
    <x v="5"/>
    <s v="Computadores"/>
    <s v="Laura Torres"/>
    <x v="6"/>
    <x v="1"/>
    <n v="9"/>
    <n v="1686"/>
    <n v="15174"/>
    <s v="September"/>
    <s v="04"/>
    <x v="0"/>
    <n v="9"/>
    <x v="0"/>
  </r>
  <r>
    <n v="71"/>
    <s v="2025-07-03"/>
    <x v="6"/>
    <s v="Computadores"/>
    <s v="Diana Morales"/>
    <x v="4"/>
    <x v="0"/>
    <n v="10"/>
    <n v="1270"/>
    <n v="12700"/>
    <s v="July"/>
    <s v="03"/>
    <x v="1"/>
    <n v="7"/>
    <x v="1"/>
  </r>
  <r>
    <n v="72"/>
    <s v="2024-07-04"/>
    <x v="0"/>
    <s v="Telefonía"/>
    <s v="Luis Castillo"/>
    <x v="5"/>
    <x v="1"/>
    <n v="22"/>
    <n v="4307"/>
    <n v="94754"/>
    <s v="July"/>
    <s v="04"/>
    <x v="2"/>
    <n v="7"/>
    <x v="6"/>
  </r>
  <r>
    <n v="73"/>
    <s v="2025-11-15"/>
    <x v="4"/>
    <s v="Accesorios"/>
    <s v="Sofía Rodríguez"/>
    <x v="5"/>
    <x v="1"/>
    <n v="9"/>
    <n v="3828"/>
    <n v="34452"/>
    <s v="November"/>
    <s v="15"/>
    <x v="1"/>
    <n v="11"/>
    <x v="8"/>
  </r>
  <r>
    <n v="74"/>
    <s v="2025-10-02"/>
    <x v="0"/>
    <s v="Telefonía"/>
    <s v="Ana Pérez"/>
    <x v="2"/>
    <x v="0"/>
    <n v="10"/>
    <n v="980"/>
    <n v="9800"/>
    <s v="October"/>
    <s v="02"/>
    <x v="1"/>
    <n v="10"/>
    <x v="8"/>
  </r>
  <r>
    <n v="75"/>
    <s v="2023-12-27"/>
    <x v="4"/>
    <s v="Accesorios"/>
    <s v="Sofía Rodríguez"/>
    <x v="4"/>
    <x v="0"/>
    <n v="5"/>
    <n v="4202"/>
    <n v="21010"/>
    <s v="December"/>
    <s v="27"/>
    <x v="0"/>
    <n v="12"/>
    <x v="2"/>
  </r>
  <r>
    <n v="76"/>
    <s v="2023-12-12"/>
    <x v="8"/>
    <s v="Accesorios"/>
    <s v="Laura Torres"/>
    <x v="6"/>
    <x v="0"/>
    <n v="15"/>
    <n v="4679"/>
    <n v="70185"/>
    <s v="December"/>
    <s v="12"/>
    <x v="0"/>
    <n v="12"/>
    <x v="2"/>
  </r>
  <r>
    <n v="77"/>
    <s v="2024-11-16"/>
    <x v="3"/>
    <s v="Almacenamiento"/>
    <s v="Sofía Rodríguez"/>
    <x v="5"/>
    <x v="1"/>
    <n v="9"/>
    <n v="1340"/>
    <n v="12060"/>
    <s v="November"/>
    <s v="16"/>
    <x v="2"/>
    <n v="11"/>
    <x v="10"/>
  </r>
  <r>
    <n v="78"/>
    <s v="2025-01-29"/>
    <x v="7"/>
    <s v="Periféricos"/>
    <s v="Laura Torres"/>
    <x v="2"/>
    <x v="1"/>
    <n v="12"/>
    <n v="3227"/>
    <n v="38724"/>
    <s v="January"/>
    <s v="29"/>
    <x v="1"/>
    <n v="1"/>
    <x v="3"/>
  </r>
  <r>
    <n v="79"/>
    <s v="2025-05-17"/>
    <x v="2"/>
    <s v="Periféricos"/>
    <s v="Juan Hernández"/>
    <x v="4"/>
    <x v="1"/>
    <n v="6"/>
    <n v="827"/>
    <n v="4962"/>
    <s v="May"/>
    <s v="17"/>
    <x v="1"/>
    <n v="5"/>
    <x v="5"/>
  </r>
  <r>
    <n v="80"/>
    <s v="2023-02-15"/>
    <x v="2"/>
    <s v="Periféricos"/>
    <s v="Sofía Rodríguez"/>
    <x v="5"/>
    <x v="1"/>
    <n v="20"/>
    <n v="4031"/>
    <n v="80620"/>
    <s v="February"/>
    <s v="15"/>
    <x v="0"/>
    <n v="2"/>
    <x v="11"/>
  </r>
  <r>
    <n v="81"/>
    <s v="2024-08-10"/>
    <x v="8"/>
    <s v="Accesorios"/>
    <s v="Sofía Rodríguez"/>
    <x v="1"/>
    <x v="1"/>
    <n v="15"/>
    <n v="4795"/>
    <n v="71925"/>
    <s v="August"/>
    <s v="10"/>
    <x v="2"/>
    <n v="8"/>
    <x v="6"/>
  </r>
  <r>
    <n v="82"/>
    <s v="2024-07-13"/>
    <x v="4"/>
    <s v="Accesorios"/>
    <s v="Diana Morales"/>
    <x v="6"/>
    <x v="0"/>
    <n v="19"/>
    <n v="3995"/>
    <n v="75905"/>
    <s v="July"/>
    <s v="13"/>
    <x v="2"/>
    <n v="7"/>
    <x v="6"/>
  </r>
  <r>
    <n v="83"/>
    <s v="2025-05-25"/>
    <x v="3"/>
    <s v="Almacenamiento"/>
    <s v="Ana Pérez"/>
    <x v="2"/>
    <x v="1"/>
    <n v="2"/>
    <n v="1817"/>
    <n v="3634"/>
    <s v="May"/>
    <s v="25"/>
    <x v="1"/>
    <n v="5"/>
    <x v="5"/>
  </r>
  <r>
    <n v="84"/>
    <s v="2023-03-25"/>
    <x v="0"/>
    <s v="Telefonía"/>
    <s v="María López"/>
    <x v="0"/>
    <x v="1"/>
    <n v="6"/>
    <n v="4053"/>
    <n v="24318"/>
    <s v="March"/>
    <s v="25"/>
    <x v="0"/>
    <n v="3"/>
    <x v="11"/>
  </r>
  <r>
    <n v="85"/>
    <s v="2024-07-28"/>
    <x v="3"/>
    <s v="Almacenamiento"/>
    <s v="Luis Castillo"/>
    <x v="4"/>
    <x v="1"/>
    <n v="20"/>
    <n v="195"/>
    <n v="3900"/>
    <s v="July"/>
    <s v="28"/>
    <x v="2"/>
    <n v="7"/>
    <x v="6"/>
  </r>
  <r>
    <n v="86"/>
    <s v="2025-03-08"/>
    <x v="9"/>
    <s v="Accesorios"/>
    <s v="María López"/>
    <x v="0"/>
    <x v="1"/>
    <n v="13"/>
    <n v="247"/>
    <n v="3211"/>
    <s v="March"/>
    <s v="08"/>
    <x v="1"/>
    <n v="3"/>
    <x v="3"/>
  </r>
  <r>
    <n v="87"/>
    <s v="2023-01-08"/>
    <x v="7"/>
    <s v="Periféricos"/>
    <s v="María López"/>
    <x v="1"/>
    <x v="1"/>
    <n v="18"/>
    <n v="3300"/>
    <n v="59400"/>
    <s v="January"/>
    <s v="08"/>
    <x v="0"/>
    <n v="1"/>
    <x v="11"/>
  </r>
  <r>
    <n v="88"/>
    <s v="2023-09-24"/>
    <x v="8"/>
    <s v="Accesorios"/>
    <s v="Carlos Gómez"/>
    <x v="1"/>
    <x v="0"/>
    <n v="16"/>
    <n v="4816"/>
    <n v="77056"/>
    <s v="September"/>
    <s v="24"/>
    <x v="0"/>
    <n v="9"/>
    <x v="0"/>
  </r>
  <r>
    <n v="89"/>
    <s v="2025-05-28"/>
    <x v="5"/>
    <s v="Computadores"/>
    <s v="Juan Hernández"/>
    <x v="1"/>
    <x v="0"/>
    <n v="6"/>
    <n v="4978"/>
    <n v="29868"/>
    <s v="May"/>
    <s v="28"/>
    <x v="1"/>
    <n v="5"/>
    <x v="5"/>
  </r>
  <r>
    <n v="90"/>
    <s v="2025-02-04"/>
    <x v="0"/>
    <s v="Telefonía"/>
    <s v="Luis Castillo"/>
    <x v="5"/>
    <x v="0"/>
    <n v="2"/>
    <n v="301"/>
    <n v="602"/>
    <s v="February"/>
    <s v="04"/>
    <x v="1"/>
    <n v="2"/>
    <x v="3"/>
  </r>
  <r>
    <n v="91"/>
    <s v="2025-09-11"/>
    <x v="1"/>
    <s v="Accesorios"/>
    <s v="Pedro Ramírez"/>
    <x v="1"/>
    <x v="1"/>
    <n v="13"/>
    <n v="4165"/>
    <n v="54145"/>
    <s v="September"/>
    <s v="11"/>
    <x v="1"/>
    <n v="9"/>
    <x v="1"/>
  </r>
  <r>
    <n v="92"/>
    <s v="2024-04-29"/>
    <x v="4"/>
    <s v="Accesorios"/>
    <s v="Ana Pérez"/>
    <x v="4"/>
    <x v="1"/>
    <n v="18"/>
    <n v="1208"/>
    <n v="21744"/>
    <s v="April"/>
    <s v="29"/>
    <x v="2"/>
    <n v="4"/>
    <x v="4"/>
  </r>
  <r>
    <n v="93"/>
    <s v="2024-02-22"/>
    <x v="5"/>
    <s v="Computadores"/>
    <s v="María López"/>
    <x v="1"/>
    <x v="1"/>
    <n v="2"/>
    <n v="3647"/>
    <n v="7294"/>
    <s v="February"/>
    <s v="22"/>
    <x v="2"/>
    <n v="2"/>
    <x v="7"/>
  </r>
  <r>
    <n v="94"/>
    <s v="2023-06-23"/>
    <x v="0"/>
    <s v="Telefonía"/>
    <s v="Ana Pérez"/>
    <x v="6"/>
    <x v="1"/>
    <n v="20"/>
    <n v="608"/>
    <n v="12160"/>
    <s v="June"/>
    <s v="23"/>
    <x v="0"/>
    <n v="6"/>
    <x v="9"/>
  </r>
  <r>
    <n v="95"/>
    <s v="2023-07-15"/>
    <x v="2"/>
    <s v="Periféricos"/>
    <s v="Juan Hernández"/>
    <x v="0"/>
    <x v="0"/>
    <n v="9"/>
    <n v="322"/>
    <n v="2898"/>
    <s v="July"/>
    <s v="15"/>
    <x v="0"/>
    <n v="7"/>
    <x v="0"/>
  </r>
  <r>
    <n v="96"/>
    <s v="2024-05-21"/>
    <x v="8"/>
    <s v="Accesorios"/>
    <s v="Luis Castillo"/>
    <x v="5"/>
    <x v="1"/>
    <n v="8"/>
    <n v="230"/>
    <n v="1840"/>
    <s v="May"/>
    <s v="21"/>
    <x v="2"/>
    <n v="5"/>
    <x v="4"/>
  </r>
  <r>
    <n v="97"/>
    <s v="2025-10-12"/>
    <x v="2"/>
    <s v="Periféricos"/>
    <s v="Laura Torres"/>
    <x v="6"/>
    <x v="0"/>
    <n v="2"/>
    <n v="1393"/>
    <n v="2786"/>
    <s v="October"/>
    <s v="12"/>
    <x v="1"/>
    <n v="10"/>
    <x v="8"/>
  </r>
  <r>
    <n v="98"/>
    <s v="2024-12-18"/>
    <x v="9"/>
    <s v="Accesorios"/>
    <s v="Miguel Vargas"/>
    <x v="6"/>
    <x v="0"/>
    <n v="25"/>
    <n v="4996"/>
    <n v="124900"/>
    <s v="December"/>
    <s v="18"/>
    <x v="2"/>
    <n v="12"/>
    <x v="10"/>
  </r>
  <r>
    <n v="99"/>
    <s v="2025-06-26"/>
    <x v="0"/>
    <s v="Telefonía"/>
    <s v="Luis Castillo"/>
    <x v="3"/>
    <x v="1"/>
    <n v="16"/>
    <n v="1938"/>
    <n v="31008"/>
    <s v="June"/>
    <s v="26"/>
    <x v="1"/>
    <n v="6"/>
    <x v="5"/>
  </r>
  <r>
    <n v="100"/>
    <s v="2025-03-28"/>
    <x v="4"/>
    <s v="Accesorios"/>
    <s v="María López"/>
    <x v="0"/>
    <x v="1"/>
    <n v="21"/>
    <n v="4061"/>
    <n v="85281"/>
    <s v="March"/>
    <s v="28"/>
    <x v="1"/>
    <n v="3"/>
    <x v="3"/>
  </r>
  <r>
    <n v="101"/>
    <s v="2025-02-08"/>
    <x v="3"/>
    <s v="Almacenamiento"/>
    <s v="Ana Pérez"/>
    <x v="2"/>
    <x v="0"/>
    <n v="13"/>
    <n v="1232"/>
    <n v="16016"/>
    <s v="February"/>
    <s v="08"/>
    <x v="1"/>
    <n v="2"/>
    <x v="3"/>
  </r>
  <r>
    <n v="102"/>
    <s v="2023-12-31"/>
    <x v="9"/>
    <s v="Accesorios"/>
    <s v="Laura Torres"/>
    <x v="5"/>
    <x v="1"/>
    <n v="2"/>
    <n v="1019"/>
    <n v="2038"/>
    <s v="December"/>
    <s v="31"/>
    <x v="0"/>
    <n v="12"/>
    <x v="2"/>
  </r>
  <r>
    <n v="103"/>
    <s v="2025-10-10"/>
    <x v="6"/>
    <s v="Computadores"/>
    <s v="Laura Torres"/>
    <x v="1"/>
    <x v="1"/>
    <n v="3"/>
    <n v="1861"/>
    <n v="5583"/>
    <s v="October"/>
    <s v="10"/>
    <x v="1"/>
    <n v="10"/>
    <x v="8"/>
  </r>
  <r>
    <n v="104"/>
    <s v="2024-11-24"/>
    <x v="5"/>
    <s v="Computadores"/>
    <s v="Ana Pérez"/>
    <x v="4"/>
    <x v="0"/>
    <n v="10"/>
    <n v="720"/>
    <n v="7200"/>
    <s v="November"/>
    <s v="24"/>
    <x v="2"/>
    <n v="11"/>
    <x v="10"/>
  </r>
  <r>
    <n v="105"/>
    <s v="2025-01-18"/>
    <x v="5"/>
    <s v="Computadores"/>
    <s v="Sofía Rodríguez"/>
    <x v="3"/>
    <x v="0"/>
    <n v="5"/>
    <n v="990"/>
    <n v="4950"/>
    <s v="January"/>
    <s v="18"/>
    <x v="1"/>
    <n v="1"/>
    <x v="3"/>
  </r>
  <r>
    <n v="106"/>
    <s v="2024-05-26"/>
    <x v="2"/>
    <s v="Periféricos"/>
    <s v="Ana Pérez"/>
    <x v="5"/>
    <x v="0"/>
    <n v="24"/>
    <n v="2322"/>
    <n v="55728"/>
    <s v="May"/>
    <s v="26"/>
    <x v="2"/>
    <n v="5"/>
    <x v="4"/>
  </r>
  <r>
    <n v="107"/>
    <s v="2025-10-07"/>
    <x v="1"/>
    <s v="Accesorios"/>
    <s v="Juan Hernández"/>
    <x v="0"/>
    <x v="0"/>
    <n v="10"/>
    <n v="1898"/>
    <n v="18980"/>
    <s v="October"/>
    <s v="07"/>
    <x v="1"/>
    <n v="10"/>
    <x v="8"/>
  </r>
  <r>
    <n v="108"/>
    <s v="2025-06-29"/>
    <x v="0"/>
    <s v="Telefonía"/>
    <s v="María López"/>
    <x v="5"/>
    <x v="1"/>
    <n v="2"/>
    <n v="4566"/>
    <n v="9132"/>
    <s v="June"/>
    <s v="29"/>
    <x v="1"/>
    <n v="6"/>
    <x v="5"/>
  </r>
  <r>
    <n v="109"/>
    <s v="2024-07-29"/>
    <x v="9"/>
    <s v="Accesorios"/>
    <s v="Pedro Ramírez"/>
    <x v="5"/>
    <x v="1"/>
    <n v="1"/>
    <n v="2582"/>
    <n v="2582"/>
    <s v="July"/>
    <s v="29"/>
    <x v="2"/>
    <n v="7"/>
    <x v="6"/>
  </r>
  <r>
    <n v="110"/>
    <s v="2023-10-12"/>
    <x v="9"/>
    <s v="Accesorios"/>
    <s v="Diana Morales"/>
    <x v="5"/>
    <x v="0"/>
    <n v="10"/>
    <n v="459"/>
    <n v="4590"/>
    <s v="October"/>
    <s v="12"/>
    <x v="0"/>
    <n v="10"/>
    <x v="2"/>
  </r>
  <r>
    <n v="111"/>
    <s v="2023-06-09"/>
    <x v="8"/>
    <s v="Accesorios"/>
    <s v="María López"/>
    <x v="0"/>
    <x v="0"/>
    <n v="13"/>
    <n v="4830"/>
    <n v="62790"/>
    <s v="June"/>
    <s v="09"/>
    <x v="0"/>
    <n v="6"/>
    <x v="9"/>
  </r>
  <r>
    <n v="112"/>
    <s v="2024-11-04"/>
    <x v="6"/>
    <s v="Computadores"/>
    <s v="Pedro Ramírez"/>
    <x v="6"/>
    <x v="0"/>
    <n v="23"/>
    <n v="2309"/>
    <n v="53107"/>
    <s v="November"/>
    <s v="04"/>
    <x v="2"/>
    <n v="11"/>
    <x v="10"/>
  </r>
  <r>
    <n v="113"/>
    <s v="2025-09-17"/>
    <x v="9"/>
    <s v="Accesorios"/>
    <s v="Luis Castillo"/>
    <x v="6"/>
    <x v="1"/>
    <n v="7"/>
    <n v="1366"/>
    <n v="9562"/>
    <s v="September"/>
    <s v="17"/>
    <x v="1"/>
    <n v="9"/>
    <x v="1"/>
  </r>
  <r>
    <n v="114"/>
    <s v="2023-06-09"/>
    <x v="2"/>
    <s v="Periféricos"/>
    <s v="María López"/>
    <x v="1"/>
    <x v="1"/>
    <n v="22"/>
    <n v="1944"/>
    <n v="42768"/>
    <s v="June"/>
    <s v="09"/>
    <x v="0"/>
    <n v="6"/>
    <x v="9"/>
  </r>
  <r>
    <n v="115"/>
    <s v="2024-08-18"/>
    <x v="4"/>
    <s v="Accesorios"/>
    <s v="Pedro Ramírez"/>
    <x v="6"/>
    <x v="0"/>
    <n v="9"/>
    <n v="4292"/>
    <n v="38628"/>
    <s v="August"/>
    <s v="18"/>
    <x v="2"/>
    <n v="8"/>
    <x v="6"/>
  </r>
  <r>
    <n v="116"/>
    <s v="2025-11-07"/>
    <x v="4"/>
    <s v="Accesorios"/>
    <s v="María López"/>
    <x v="3"/>
    <x v="0"/>
    <n v="24"/>
    <n v="1818"/>
    <n v="43632"/>
    <s v="November"/>
    <s v="07"/>
    <x v="1"/>
    <n v="11"/>
    <x v="8"/>
  </r>
  <r>
    <n v="117"/>
    <s v="2024-09-12"/>
    <x v="9"/>
    <s v="Accesorios"/>
    <s v="Miguel Vargas"/>
    <x v="1"/>
    <x v="1"/>
    <n v="25"/>
    <n v="4347"/>
    <n v="108675"/>
    <s v="September"/>
    <s v="12"/>
    <x v="2"/>
    <n v="9"/>
    <x v="6"/>
  </r>
  <r>
    <n v="118"/>
    <s v="2025-10-12"/>
    <x v="2"/>
    <s v="Periféricos"/>
    <s v="Miguel Vargas"/>
    <x v="0"/>
    <x v="1"/>
    <n v="12"/>
    <n v="965"/>
    <n v="11580"/>
    <s v="October"/>
    <s v="12"/>
    <x v="1"/>
    <n v="10"/>
    <x v="8"/>
  </r>
  <r>
    <n v="119"/>
    <s v="2023-08-20"/>
    <x v="9"/>
    <s v="Accesorios"/>
    <s v="Carlos Gómez"/>
    <x v="6"/>
    <x v="1"/>
    <n v="6"/>
    <n v="3764"/>
    <n v="22584"/>
    <s v="August"/>
    <s v="20"/>
    <x v="0"/>
    <n v="8"/>
    <x v="0"/>
  </r>
  <r>
    <n v="120"/>
    <s v="2025-07-24"/>
    <x v="9"/>
    <s v="Accesorios"/>
    <s v="Pedro Ramírez"/>
    <x v="0"/>
    <x v="0"/>
    <n v="19"/>
    <n v="3046"/>
    <n v="57874"/>
    <s v="July"/>
    <s v="24"/>
    <x v="1"/>
    <n v="7"/>
    <x v="1"/>
  </r>
  <r>
    <n v="121"/>
    <s v="2024-08-08"/>
    <x v="6"/>
    <s v="Computadores"/>
    <s v="Miguel Vargas"/>
    <x v="5"/>
    <x v="0"/>
    <n v="10"/>
    <n v="2162"/>
    <n v="21620"/>
    <s v="August"/>
    <s v="08"/>
    <x v="2"/>
    <n v="8"/>
    <x v="6"/>
  </r>
  <r>
    <n v="122"/>
    <s v="2024-12-04"/>
    <x v="5"/>
    <s v="Computadores"/>
    <s v="Carlos Gómez"/>
    <x v="2"/>
    <x v="0"/>
    <n v="21"/>
    <n v="2039"/>
    <n v="42819"/>
    <s v="December"/>
    <s v="04"/>
    <x v="2"/>
    <n v="12"/>
    <x v="10"/>
  </r>
  <r>
    <n v="123"/>
    <s v="2025-05-11"/>
    <x v="0"/>
    <s v="Telefonía"/>
    <s v="Juan Hernández"/>
    <x v="4"/>
    <x v="0"/>
    <n v="25"/>
    <n v="2618"/>
    <n v="65450"/>
    <s v="May"/>
    <s v="11"/>
    <x v="1"/>
    <n v="5"/>
    <x v="5"/>
  </r>
  <r>
    <n v="124"/>
    <s v="2025-01-13"/>
    <x v="4"/>
    <s v="Accesorios"/>
    <s v="Luis Castillo"/>
    <x v="5"/>
    <x v="1"/>
    <n v="10"/>
    <n v="1308"/>
    <n v="13080"/>
    <s v="January"/>
    <s v="13"/>
    <x v="1"/>
    <n v="1"/>
    <x v="3"/>
  </r>
  <r>
    <n v="125"/>
    <s v="2023-04-14"/>
    <x v="2"/>
    <s v="Periféricos"/>
    <s v="Ana Pérez"/>
    <x v="6"/>
    <x v="1"/>
    <n v="4"/>
    <n v="1928"/>
    <n v="7712"/>
    <s v="April"/>
    <s v="14"/>
    <x v="0"/>
    <n v="4"/>
    <x v="9"/>
  </r>
  <r>
    <n v="126"/>
    <s v="2023-01-25"/>
    <x v="0"/>
    <s v="Telefonía"/>
    <s v="María López"/>
    <x v="0"/>
    <x v="1"/>
    <n v="19"/>
    <n v="3732"/>
    <n v="70908"/>
    <s v="January"/>
    <s v="25"/>
    <x v="0"/>
    <n v="1"/>
    <x v="11"/>
  </r>
  <r>
    <n v="127"/>
    <s v="2024-11-20"/>
    <x v="0"/>
    <s v="Telefonía"/>
    <s v="Laura Torres"/>
    <x v="6"/>
    <x v="0"/>
    <n v="6"/>
    <n v="3272"/>
    <n v="19632"/>
    <s v="November"/>
    <s v="20"/>
    <x v="2"/>
    <n v="11"/>
    <x v="10"/>
  </r>
  <r>
    <n v="128"/>
    <s v="2025-07-06"/>
    <x v="5"/>
    <s v="Computadores"/>
    <s v="Laura Torres"/>
    <x v="1"/>
    <x v="1"/>
    <n v="24"/>
    <n v="807"/>
    <n v="19368"/>
    <s v="July"/>
    <s v="06"/>
    <x v="1"/>
    <n v="7"/>
    <x v="1"/>
  </r>
  <r>
    <n v="129"/>
    <s v="2024-10-11"/>
    <x v="5"/>
    <s v="Computadores"/>
    <s v="Ana Pérez"/>
    <x v="4"/>
    <x v="0"/>
    <n v="9"/>
    <n v="4861"/>
    <n v="43749"/>
    <s v="October"/>
    <s v="11"/>
    <x v="2"/>
    <n v="10"/>
    <x v="10"/>
  </r>
  <r>
    <n v="130"/>
    <s v="2024-03-02"/>
    <x v="5"/>
    <s v="Computadores"/>
    <s v="Luis Castillo"/>
    <x v="0"/>
    <x v="0"/>
    <n v="7"/>
    <n v="3509"/>
    <n v="24563"/>
    <s v="March"/>
    <s v="02"/>
    <x v="2"/>
    <n v="3"/>
    <x v="7"/>
  </r>
  <r>
    <n v="131"/>
    <s v="2023-11-16"/>
    <x v="7"/>
    <s v="Periféricos"/>
    <s v="Luis Castillo"/>
    <x v="4"/>
    <x v="1"/>
    <n v="4"/>
    <n v="3328"/>
    <n v="13312"/>
    <s v="November"/>
    <s v="16"/>
    <x v="0"/>
    <n v="11"/>
    <x v="2"/>
  </r>
  <r>
    <n v="132"/>
    <s v="2024-08-05"/>
    <x v="6"/>
    <s v="Computadores"/>
    <s v="Luis Castillo"/>
    <x v="6"/>
    <x v="1"/>
    <n v="16"/>
    <n v="2076"/>
    <n v="33216"/>
    <s v="August"/>
    <s v="05"/>
    <x v="2"/>
    <n v="8"/>
    <x v="6"/>
  </r>
  <r>
    <n v="133"/>
    <s v="2025-01-15"/>
    <x v="1"/>
    <s v="Accesorios"/>
    <s v="Carlos Gómez"/>
    <x v="3"/>
    <x v="1"/>
    <n v="5"/>
    <n v="2442"/>
    <n v="12210"/>
    <s v="January"/>
    <s v="15"/>
    <x v="1"/>
    <n v="1"/>
    <x v="3"/>
  </r>
  <r>
    <n v="134"/>
    <s v="2023-10-23"/>
    <x v="1"/>
    <s v="Accesorios"/>
    <s v="Juan Hernández"/>
    <x v="4"/>
    <x v="1"/>
    <n v="14"/>
    <n v="2527"/>
    <n v="35378"/>
    <s v="October"/>
    <s v="23"/>
    <x v="0"/>
    <n v="10"/>
    <x v="2"/>
  </r>
  <r>
    <n v="135"/>
    <s v="2023-01-22"/>
    <x v="4"/>
    <s v="Accesorios"/>
    <s v="Luis Castillo"/>
    <x v="6"/>
    <x v="0"/>
    <n v="24"/>
    <n v="1783"/>
    <n v="42792"/>
    <s v="January"/>
    <s v="22"/>
    <x v="0"/>
    <n v="1"/>
    <x v="11"/>
  </r>
  <r>
    <n v="136"/>
    <s v="2023-01-25"/>
    <x v="0"/>
    <s v="Telefonía"/>
    <s v="Sofía Rodríguez"/>
    <x v="6"/>
    <x v="0"/>
    <n v="5"/>
    <n v="1620"/>
    <n v="8100"/>
    <s v="January"/>
    <s v="25"/>
    <x v="0"/>
    <n v="1"/>
    <x v="11"/>
  </r>
  <r>
    <n v="137"/>
    <s v="2023-09-04"/>
    <x v="2"/>
    <s v="Periféricos"/>
    <s v="Pedro Ramírez"/>
    <x v="5"/>
    <x v="1"/>
    <n v="20"/>
    <n v="2197"/>
    <n v="43940"/>
    <s v="September"/>
    <s v="04"/>
    <x v="0"/>
    <n v="9"/>
    <x v="0"/>
  </r>
  <r>
    <n v="138"/>
    <s v="2024-10-06"/>
    <x v="4"/>
    <s v="Accesorios"/>
    <s v="Juan Hernández"/>
    <x v="3"/>
    <x v="0"/>
    <n v="24"/>
    <n v="121"/>
    <n v="2904"/>
    <s v="October"/>
    <s v="06"/>
    <x v="2"/>
    <n v="10"/>
    <x v="10"/>
  </r>
  <r>
    <n v="139"/>
    <s v="2024-01-10"/>
    <x v="1"/>
    <s v="Accesorios"/>
    <s v="Carlos Gómez"/>
    <x v="6"/>
    <x v="0"/>
    <n v="16"/>
    <n v="1647"/>
    <n v="26352"/>
    <s v="January"/>
    <s v="10"/>
    <x v="2"/>
    <n v="1"/>
    <x v="7"/>
  </r>
  <r>
    <n v="140"/>
    <s v="2024-08-09"/>
    <x v="7"/>
    <s v="Periféricos"/>
    <s v="Ana Pérez"/>
    <x v="2"/>
    <x v="1"/>
    <n v="5"/>
    <n v="2962"/>
    <n v="14810"/>
    <s v="August"/>
    <s v="09"/>
    <x v="2"/>
    <n v="8"/>
    <x v="6"/>
  </r>
  <r>
    <n v="141"/>
    <s v="2024-12-09"/>
    <x v="0"/>
    <s v="Telefonía"/>
    <s v="Laura Torres"/>
    <x v="0"/>
    <x v="1"/>
    <n v="18"/>
    <n v="1369"/>
    <n v="24642"/>
    <s v="December"/>
    <s v="09"/>
    <x v="2"/>
    <n v="12"/>
    <x v="10"/>
  </r>
  <r>
    <n v="142"/>
    <s v="2023-11-05"/>
    <x v="3"/>
    <s v="Almacenamiento"/>
    <s v="Miguel Vargas"/>
    <x v="2"/>
    <x v="1"/>
    <n v="22"/>
    <n v="2229"/>
    <n v="49038"/>
    <s v="November"/>
    <s v="05"/>
    <x v="0"/>
    <n v="11"/>
    <x v="2"/>
  </r>
  <r>
    <n v="143"/>
    <s v="2025-04-29"/>
    <x v="9"/>
    <s v="Accesorios"/>
    <s v="Luis Castillo"/>
    <x v="3"/>
    <x v="1"/>
    <n v="7"/>
    <n v="3066"/>
    <n v="21462"/>
    <s v="April"/>
    <s v="29"/>
    <x v="1"/>
    <n v="4"/>
    <x v="5"/>
  </r>
  <r>
    <n v="144"/>
    <s v="2024-04-04"/>
    <x v="1"/>
    <s v="Accesorios"/>
    <s v="Juan Hernández"/>
    <x v="3"/>
    <x v="1"/>
    <n v="3"/>
    <n v="866"/>
    <n v="2598"/>
    <s v="April"/>
    <s v="04"/>
    <x v="2"/>
    <n v="4"/>
    <x v="4"/>
  </r>
  <r>
    <n v="145"/>
    <s v="2023-12-07"/>
    <x v="2"/>
    <s v="Periféricos"/>
    <s v="Diana Morales"/>
    <x v="1"/>
    <x v="1"/>
    <n v="7"/>
    <n v="2899"/>
    <n v="20293"/>
    <s v="December"/>
    <s v="07"/>
    <x v="0"/>
    <n v="12"/>
    <x v="2"/>
  </r>
  <r>
    <n v="146"/>
    <s v="2025-04-21"/>
    <x v="2"/>
    <s v="Periféricos"/>
    <s v="Pedro Ramírez"/>
    <x v="6"/>
    <x v="0"/>
    <n v="5"/>
    <n v="4067"/>
    <n v="20335"/>
    <s v="April"/>
    <s v="21"/>
    <x v="1"/>
    <n v="4"/>
    <x v="5"/>
  </r>
  <r>
    <n v="147"/>
    <s v="2023-03-11"/>
    <x v="7"/>
    <s v="Periféricos"/>
    <s v="Pedro Ramírez"/>
    <x v="3"/>
    <x v="0"/>
    <n v="19"/>
    <n v="1407"/>
    <n v="26733"/>
    <s v="March"/>
    <s v="11"/>
    <x v="0"/>
    <n v="3"/>
    <x v="11"/>
  </r>
  <r>
    <n v="148"/>
    <s v="2025-05-14"/>
    <x v="9"/>
    <s v="Accesorios"/>
    <s v="Carlos Gómez"/>
    <x v="4"/>
    <x v="0"/>
    <n v="1"/>
    <n v="817"/>
    <n v="817"/>
    <s v="May"/>
    <s v="14"/>
    <x v="1"/>
    <n v="5"/>
    <x v="5"/>
  </r>
  <r>
    <n v="149"/>
    <s v="2024-04-13"/>
    <x v="0"/>
    <s v="Telefonía"/>
    <s v="Luis Castillo"/>
    <x v="5"/>
    <x v="0"/>
    <n v="12"/>
    <n v="4340"/>
    <n v="52080"/>
    <s v="April"/>
    <s v="13"/>
    <x v="2"/>
    <n v="4"/>
    <x v="4"/>
  </r>
  <r>
    <n v="150"/>
    <s v="2025-08-22"/>
    <x v="8"/>
    <s v="Accesorios"/>
    <s v="Luis Castillo"/>
    <x v="0"/>
    <x v="1"/>
    <n v="1"/>
    <n v="2599"/>
    <n v="2599"/>
    <s v="August"/>
    <s v="22"/>
    <x v="1"/>
    <n v="8"/>
    <x v="1"/>
  </r>
  <r>
    <n v="151"/>
    <s v="2024-01-25"/>
    <x v="7"/>
    <s v="Periféricos"/>
    <s v="Miguel Vargas"/>
    <x v="2"/>
    <x v="1"/>
    <n v="10"/>
    <n v="4264"/>
    <n v="42640"/>
    <s v="January"/>
    <s v="25"/>
    <x v="2"/>
    <n v="1"/>
    <x v="7"/>
  </r>
  <r>
    <n v="152"/>
    <s v="2023-11-22"/>
    <x v="7"/>
    <s v="Periféricos"/>
    <s v="Miguel Vargas"/>
    <x v="1"/>
    <x v="1"/>
    <n v="24"/>
    <n v="124"/>
    <n v="2976"/>
    <s v="November"/>
    <s v="22"/>
    <x v="0"/>
    <n v="11"/>
    <x v="2"/>
  </r>
  <r>
    <n v="153"/>
    <s v="2023-11-21"/>
    <x v="8"/>
    <s v="Accesorios"/>
    <s v="Diana Morales"/>
    <x v="3"/>
    <x v="1"/>
    <n v="24"/>
    <n v="2960"/>
    <n v="71040"/>
    <s v="November"/>
    <s v="21"/>
    <x v="0"/>
    <n v="11"/>
    <x v="2"/>
  </r>
  <r>
    <n v="154"/>
    <s v="2023-06-25"/>
    <x v="9"/>
    <s v="Accesorios"/>
    <s v="Ana Pérez"/>
    <x v="3"/>
    <x v="0"/>
    <n v="20"/>
    <n v="1505"/>
    <n v="30100"/>
    <s v="June"/>
    <s v="25"/>
    <x v="0"/>
    <n v="6"/>
    <x v="9"/>
  </r>
  <r>
    <n v="155"/>
    <s v="2025-07-20"/>
    <x v="8"/>
    <s v="Accesorios"/>
    <s v="Sofía Rodríguez"/>
    <x v="0"/>
    <x v="1"/>
    <n v="23"/>
    <n v="845"/>
    <n v="19435"/>
    <s v="July"/>
    <s v="20"/>
    <x v="1"/>
    <n v="7"/>
    <x v="1"/>
  </r>
  <r>
    <n v="156"/>
    <s v="2025-11-23"/>
    <x v="9"/>
    <s v="Accesorios"/>
    <s v="Diana Morales"/>
    <x v="5"/>
    <x v="0"/>
    <n v="4"/>
    <n v="2885"/>
    <n v="11540"/>
    <s v="November"/>
    <s v="23"/>
    <x v="1"/>
    <n v="11"/>
    <x v="8"/>
  </r>
  <r>
    <n v="157"/>
    <s v="2024-06-11"/>
    <x v="4"/>
    <s v="Accesorios"/>
    <s v="Juan Hernández"/>
    <x v="2"/>
    <x v="1"/>
    <n v="16"/>
    <n v="4718"/>
    <n v="75488"/>
    <s v="June"/>
    <s v="11"/>
    <x v="2"/>
    <n v="6"/>
    <x v="4"/>
  </r>
  <r>
    <n v="158"/>
    <s v="2023-05-27"/>
    <x v="2"/>
    <s v="Periféricos"/>
    <s v="Ana Pérez"/>
    <x v="2"/>
    <x v="1"/>
    <n v="6"/>
    <n v="3058"/>
    <n v="18348"/>
    <s v="May"/>
    <s v="27"/>
    <x v="0"/>
    <n v="5"/>
    <x v="9"/>
  </r>
  <r>
    <n v="159"/>
    <s v="2025-06-24"/>
    <x v="1"/>
    <s v="Accesorios"/>
    <s v="Miguel Vargas"/>
    <x v="3"/>
    <x v="0"/>
    <n v="11"/>
    <n v="1043"/>
    <n v="11473"/>
    <s v="June"/>
    <s v="24"/>
    <x v="1"/>
    <n v="6"/>
    <x v="5"/>
  </r>
  <r>
    <n v="160"/>
    <s v="2024-08-23"/>
    <x v="4"/>
    <s v="Accesorios"/>
    <s v="Miguel Vargas"/>
    <x v="5"/>
    <x v="1"/>
    <n v="17"/>
    <n v="643"/>
    <n v="10931"/>
    <s v="August"/>
    <s v="23"/>
    <x v="2"/>
    <n v="8"/>
    <x v="6"/>
  </r>
  <r>
    <n v="161"/>
    <s v="2025-01-29"/>
    <x v="5"/>
    <s v="Computadores"/>
    <s v="Sofía Rodríguez"/>
    <x v="1"/>
    <x v="0"/>
    <n v="4"/>
    <n v="4456"/>
    <n v="17824"/>
    <s v="January"/>
    <s v="29"/>
    <x v="1"/>
    <n v="1"/>
    <x v="3"/>
  </r>
  <r>
    <n v="162"/>
    <s v="2024-02-02"/>
    <x v="5"/>
    <s v="Computadores"/>
    <s v="Juan Hernández"/>
    <x v="6"/>
    <x v="0"/>
    <n v="2"/>
    <n v="4245"/>
    <n v="8490"/>
    <s v="February"/>
    <s v="02"/>
    <x v="2"/>
    <n v="2"/>
    <x v="7"/>
  </r>
  <r>
    <n v="163"/>
    <s v="2025-07-18"/>
    <x v="3"/>
    <s v="Almacenamiento"/>
    <s v="María López"/>
    <x v="1"/>
    <x v="1"/>
    <n v="6"/>
    <n v="116"/>
    <n v="696"/>
    <s v="July"/>
    <s v="18"/>
    <x v="1"/>
    <n v="7"/>
    <x v="1"/>
  </r>
  <r>
    <n v="164"/>
    <s v="2024-03-29"/>
    <x v="2"/>
    <s v="Periféricos"/>
    <s v="Miguel Vargas"/>
    <x v="5"/>
    <x v="1"/>
    <n v="3"/>
    <n v="4006"/>
    <n v="12018"/>
    <s v="March"/>
    <s v="29"/>
    <x v="2"/>
    <n v="3"/>
    <x v="7"/>
  </r>
  <r>
    <n v="165"/>
    <s v="2023-07-08"/>
    <x v="2"/>
    <s v="Periféricos"/>
    <s v="Laura Torres"/>
    <x v="0"/>
    <x v="1"/>
    <n v="5"/>
    <n v="3229"/>
    <n v="16145"/>
    <s v="July"/>
    <s v="08"/>
    <x v="0"/>
    <n v="7"/>
    <x v="0"/>
  </r>
  <r>
    <n v="166"/>
    <s v="2023-01-12"/>
    <x v="7"/>
    <s v="Periféricos"/>
    <s v="Sofía Rodríguez"/>
    <x v="0"/>
    <x v="0"/>
    <n v="2"/>
    <n v="554"/>
    <n v="1108"/>
    <s v="January"/>
    <s v="12"/>
    <x v="0"/>
    <n v="1"/>
    <x v="11"/>
  </r>
  <r>
    <n v="167"/>
    <s v="2025-12-15"/>
    <x v="5"/>
    <s v="Computadores"/>
    <s v="Diana Morales"/>
    <x v="4"/>
    <x v="0"/>
    <n v="13"/>
    <n v="4042"/>
    <n v="52546"/>
    <s v="December"/>
    <s v="15"/>
    <x v="1"/>
    <n v="12"/>
    <x v="8"/>
  </r>
  <r>
    <n v="168"/>
    <s v="2023-08-15"/>
    <x v="3"/>
    <s v="Almacenamiento"/>
    <s v="Carlos Gómez"/>
    <x v="1"/>
    <x v="1"/>
    <n v="1"/>
    <n v="4592"/>
    <n v="4592"/>
    <s v="August"/>
    <s v="15"/>
    <x v="0"/>
    <n v="8"/>
    <x v="0"/>
  </r>
  <r>
    <n v="169"/>
    <s v="2024-10-17"/>
    <x v="0"/>
    <s v="Telefonía"/>
    <s v="Juan Hernández"/>
    <x v="0"/>
    <x v="1"/>
    <n v="19"/>
    <n v="759"/>
    <n v="14421"/>
    <s v="October"/>
    <s v="17"/>
    <x v="2"/>
    <n v="10"/>
    <x v="10"/>
  </r>
  <r>
    <n v="170"/>
    <s v="2024-07-06"/>
    <x v="0"/>
    <s v="Telefonía"/>
    <s v="Sofía Rodríguez"/>
    <x v="3"/>
    <x v="1"/>
    <n v="23"/>
    <n v="936"/>
    <n v="21528"/>
    <s v="July"/>
    <s v="06"/>
    <x v="2"/>
    <n v="7"/>
    <x v="6"/>
  </r>
  <r>
    <n v="171"/>
    <s v="2023-03-02"/>
    <x v="3"/>
    <s v="Almacenamiento"/>
    <s v="Laura Torres"/>
    <x v="4"/>
    <x v="1"/>
    <n v="7"/>
    <n v="2128"/>
    <n v="14896"/>
    <s v="March"/>
    <s v="02"/>
    <x v="0"/>
    <n v="3"/>
    <x v="11"/>
  </r>
  <r>
    <n v="172"/>
    <s v="2023-11-02"/>
    <x v="7"/>
    <s v="Periféricos"/>
    <s v="Ana Pérez"/>
    <x v="1"/>
    <x v="1"/>
    <n v="8"/>
    <n v="3103"/>
    <n v="24824"/>
    <s v="November"/>
    <s v="02"/>
    <x v="0"/>
    <n v="11"/>
    <x v="2"/>
  </r>
  <r>
    <n v="173"/>
    <s v="2023-11-15"/>
    <x v="3"/>
    <s v="Almacenamiento"/>
    <s v="Miguel Vargas"/>
    <x v="1"/>
    <x v="0"/>
    <n v="1"/>
    <n v="3879"/>
    <n v="3879"/>
    <s v="November"/>
    <s v="15"/>
    <x v="0"/>
    <n v="11"/>
    <x v="2"/>
  </r>
  <r>
    <n v="174"/>
    <s v="2023-07-03"/>
    <x v="9"/>
    <s v="Accesorios"/>
    <s v="Miguel Vargas"/>
    <x v="3"/>
    <x v="0"/>
    <n v="20"/>
    <n v="2973"/>
    <n v="59460"/>
    <s v="July"/>
    <s v="03"/>
    <x v="0"/>
    <n v="7"/>
    <x v="0"/>
  </r>
  <r>
    <n v="175"/>
    <s v="2024-10-31"/>
    <x v="3"/>
    <s v="Almacenamiento"/>
    <s v="Luis Castillo"/>
    <x v="1"/>
    <x v="1"/>
    <n v="2"/>
    <n v="3936"/>
    <n v="7872"/>
    <s v="October"/>
    <s v="31"/>
    <x v="2"/>
    <n v="10"/>
    <x v="10"/>
  </r>
  <r>
    <n v="176"/>
    <s v="2025-10-16"/>
    <x v="6"/>
    <s v="Computadores"/>
    <s v="Diana Morales"/>
    <x v="5"/>
    <x v="1"/>
    <n v="17"/>
    <n v="1067"/>
    <n v="18139"/>
    <s v="October"/>
    <s v="16"/>
    <x v="1"/>
    <n v="10"/>
    <x v="8"/>
  </r>
  <r>
    <n v="177"/>
    <s v="2023-08-09"/>
    <x v="0"/>
    <s v="Telefonía"/>
    <s v="Luis Castillo"/>
    <x v="3"/>
    <x v="0"/>
    <n v="24"/>
    <n v="2201"/>
    <n v="52824"/>
    <s v="August"/>
    <s v="09"/>
    <x v="0"/>
    <n v="8"/>
    <x v="0"/>
  </r>
  <r>
    <n v="178"/>
    <s v="2023-08-18"/>
    <x v="0"/>
    <s v="Telefonía"/>
    <s v="Miguel Vargas"/>
    <x v="1"/>
    <x v="0"/>
    <n v="13"/>
    <n v="1510"/>
    <n v="19630"/>
    <s v="August"/>
    <s v="18"/>
    <x v="0"/>
    <n v="8"/>
    <x v="0"/>
  </r>
  <r>
    <n v="179"/>
    <s v="2024-01-22"/>
    <x v="1"/>
    <s v="Accesorios"/>
    <s v="Carlos Gómez"/>
    <x v="6"/>
    <x v="1"/>
    <n v="23"/>
    <n v="3536"/>
    <n v="81328"/>
    <s v="January"/>
    <s v="22"/>
    <x v="2"/>
    <n v="1"/>
    <x v="7"/>
  </r>
  <r>
    <n v="180"/>
    <s v="2023-06-20"/>
    <x v="4"/>
    <s v="Accesorios"/>
    <s v="Pedro Ramírez"/>
    <x v="6"/>
    <x v="1"/>
    <n v="21"/>
    <n v="128"/>
    <n v="2688"/>
    <s v="June"/>
    <s v="20"/>
    <x v="0"/>
    <n v="6"/>
    <x v="9"/>
  </r>
  <r>
    <n v="181"/>
    <s v="2023-10-11"/>
    <x v="7"/>
    <s v="Periféricos"/>
    <s v="Miguel Vargas"/>
    <x v="5"/>
    <x v="0"/>
    <n v="17"/>
    <n v="4467"/>
    <n v="75939"/>
    <s v="October"/>
    <s v="11"/>
    <x v="0"/>
    <n v="10"/>
    <x v="2"/>
  </r>
  <r>
    <n v="182"/>
    <s v="2025-11-04"/>
    <x v="0"/>
    <s v="Telefonía"/>
    <s v="María López"/>
    <x v="5"/>
    <x v="1"/>
    <n v="10"/>
    <n v="3397"/>
    <n v="33970"/>
    <s v="November"/>
    <s v="04"/>
    <x v="1"/>
    <n v="11"/>
    <x v="8"/>
  </r>
  <r>
    <n v="183"/>
    <s v="2024-11-26"/>
    <x v="1"/>
    <s v="Accesorios"/>
    <s v="María López"/>
    <x v="4"/>
    <x v="0"/>
    <n v="6"/>
    <n v="204"/>
    <n v="1224"/>
    <s v="November"/>
    <s v="26"/>
    <x v="2"/>
    <n v="11"/>
    <x v="10"/>
  </r>
  <r>
    <n v="184"/>
    <s v="2025-03-17"/>
    <x v="2"/>
    <s v="Periféricos"/>
    <s v="Diana Morales"/>
    <x v="2"/>
    <x v="0"/>
    <n v="21"/>
    <n v="2989"/>
    <n v="62769"/>
    <s v="March"/>
    <s v="17"/>
    <x v="1"/>
    <n v="3"/>
    <x v="3"/>
  </r>
  <r>
    <n v="185"/>
    <s v="2023-06-21"/>
    <x v="7"/>
    <s v="Periféricos"/>
    <s v="Pedro Ramírez"/>
    <x v="0"/>
    <x v="0"/>
    <n v="12"/>
    <n v="4463"/>
    <n v="53556"/>
    <s v="June"/>
    <s v="21"/>
    <x v="0"/>
    <n v="6"/>
    <x v="9"/>
  </r>
  <r>
    <n v="186"/>
    <s v="2025-07-02"/>
    <x v="1"/>
    <s v="Accesorios"/>
    <s v="María López"/>
    <x v="5"/>
    <x v="1"/>
    <n v="22"/>
    <n v="4384"/>
    <n v="96448"/>
    <s v="July"/>
    <s v="02"/>
    <x v="1"/>
    <n v="7"/>
    <x v="1"/>
  </r>
  <r>
    <n v="187"/>
    <s v="2024-06-30"/>
    <x v="1"/>
    <s v="Accesorios"/>
    <s v="Sofía Rodríguez"/>
    <x v="3"/>
    <x v="1"/>
    <n v="2"/>
    <n v="1988"/>
    <n v="3976"/>
    <s v="June"/>
    <s v="30"/>
    <x v="2"/>
    <n v="6"/>
    <x v="4"/>
  </r>
  <r>
    <n v="188"/>
    <s v="2023-02-19"/>
    <x v="3"/>
    <s v="Almacenamiento"/>
    <s v="Pedro Ramírez"/>
    <x v="3"/>
    <x v="0"/>
    <n v="14"/>
    <n v="3143"/>
    <n v="44002"/>
    <s v="February"/>
    <s v="19"/>
    <x v="0"/>
    <n v="2"/>
    <x v="11"/>
  </r>
  <r>
    <n v="189"/>
    <s v="2025-10-07"/>
    <x v="1"/>
    <s v="Accesorios"/>
    <s v="Carlos Gómez"/>
    <x v="4"/>
    <x v="1"/>
    <n v="25"/>
    <n v="3954"/>
    <n v="98850"/>
    <s v="October"/>
    <s v="07"/>
    <x v="1"/>
    <n v="10"/>
    <x v="8"/>
  </r>
  <r>
    <n v="190"/>
    <s v="2023-11-20"/>
    <x v="7"/>
    <s v="Periféricos"/>
    <s v="Luis Castillo"/>
    <x v="2"/>
    <x v="0"/>
    <n v="20"/>
    <n v="1223"/>
    <n v="24460"/>
    <s v="November"/>
    <s v="20"/>
    <x v="0"/>
    <n v="11"/>
    <x v="2"/>
  </r>
  <r>
    <n v="191"/>
    <s v="2024-08-27"/>
    <x v="0"/>
    <s v="Telefonía"/>
    <s v="Juan Hernández"/>
    <x v="4"/>
    <x v="1"/>
    <n v="21"/>
    <n v="1915"/>
    <n v="40215"/>
    <s v="August"/>
    <s v="27"/>
    <x v="2"/>
    <n v="8"/>
    <x v="6"/>
  </r>
  <r>
    <n v="192"/>
    <s v="2024-04-24"/>
    <x v="0"/>
    <s v="Telefonía"/>
    <s v="Ana Pérez"/>
    <x v="4"/>
    <x v="1"/>
    <n v="2"/>
    <n v="3435"/>
    <n v="6870"/>
    <s v="April"/>
    <s v="24"/>
    <x v="2"/>
    <n v="4"/>
    <x v="4"/>
  </r>
  <r>
    <n v="193"/>
    <s v="2023-01-14"/>
    <x v="6"/>
    <s v="Computadores"/>
    <s v="Juan Hernández"/>
    <x v="0"/>
    <x v="1"/>
    <n v="20"/>
    <n v="407"/>
    <n v="8140"/>
    <s v="January"/>
    <s v="14"/>
    <x v="0"/>
    <n v="1"/>
    <x v="11"/>
  </r>
  <r>
    <n v="194"/>
    <s v="2023-10-02"/>
    <x v="3"/>
    <s v="Almacenamiento"/>
    <s v="Pedro Ramírez"/>
    <x v="3"/>
    <x v="0"/>
    <n v="6"/>
    <n v="4195"/>
    <n v="25170"/>
    <s v="October"/>
    <s v="02"/>
    <x v="0"/>
    <n v="10"/>
    <x v="2"/>
  </r>
  <r>
    <n v="195"/>
    <s v="2023-07-15"/>
    <x v="0"/>
    <s v="Telefonía"/>
    <s v="Laura Torres"/>
    <x v="5"/>
    <x v="0"/>
    <n v="17"/>
    <n v="4314"/>
    <n v="73338"/>
    <s v="July"/>
    <s v="15"/>
    <x v="0"/>
    <n v="7"/>
    <x v="0"/>
  </r>
  <r>
    <n v="196"/>
    <s v="2024-08-01"/>
    <x v="4"/>
    <s v="Accesorios"/>
    <s v="Diana Morales"/>
    <x v="5"/>
    <x v="0"/>
    <n v="8"/>
    <n v="4644"/>
    <n v="37152"/>
    <s v="August"/>
    <s v="01"/>
    <x v="2"/>
    <n v="8"/>
    <x v="6"/>
  </r>
  <r>
    <n v="197"/>
    <s v="2025-04-14"/>
    <x v="1"/>
    <s v="Accesorios"/>
    <s v="Pedro Ramírez"/>
    <x v="1"/>
    <x v="1"/>
    <n v="8"/>
    <n v="1353"/>
    <n v="10824"/>
    <s v="April"/>
    <s v="14"/>
    <x v="1"/>
    <n v="4"/>
    <x v="5"/>
  </r>
  <r>
    <n v="198"/>
    <s v="2024-07-23"/>
    <x v="1"/>
    <s v="Accesorios"/>
    <s v="Luis Castillo"/>
    <x v="1"/>
    <x v="0"/>
    <n v="13"/>
    <n v="3922"/>
    <n v="50986"/>
    <s v="July"/>
    <s v="23"/>
    <x v="2"/>
    <n v="7"/>
    <x v="6"/>
  </r>
  <r>
    <n v="199"/>
    <s v="2023-10-14"/>
    <x v="0"/>
    <s v="Telefonía"/>
    <s v="Laura Torres"/>
    <x v="2"/>
    <x v="0"/>
    <n v="1"/>
    <n v="3125"/>
    <n v="3125"/>
    <s v="October"/>
    <s v="14"/>
    <x v="0"/>
    <n v="10"/>
    <x v="2"/>
  </r>
  <r>
    <n v="200"/>
    <s v="2024-03-24"/>
    <x v="1"/>
    <s v="Accesorios"/>
    <s v="Miguel Vargas"/>
    <x v="3"/>
    <x v="1"/>
    <n v="17"/>
    <n v="4834"/>
    <n v="82178"/>
    <s v="March"/>
    <s v="24"/>
    <x v="2"/>
    <n v="3"/>
    <x v="7"/>
  </r>
  <r>
    <n v="201"/>
    <s v="2025-11-23"/>
    <x v="7"/>
    <s v="Periféricos"/>
    <s v="Pedro Ramírez"/>
    <x v="2"/>
    <x v="0"/>
    <n v="23"/>
    <n v="4615"/>
    <n v="106145"/>
    <s v="November"/>
    <s v="23"/>
    <x v="1"/>
    <n v="11"/>
    <x v="8"/>
  </r>
  <r>
    <n v="202"/>
    <s v="2024-09-14"/>
    <x v="1"/>
    <s v="Accesorios"/>
    <s v="Diana Morales"/>
    <x v="6"/>
    <x v="0"/>
    <n v="5"/>
    <n v="1224"/>
    <n v="6120"/>
    <s v="September"/>
    <s v="14"/>
    <x v="2"/>
    <n v="9"/>
    <x v="6"/>
  </r>
  <r>
    <n v="203"/>
    <s v="2024-08-22"/>
    <x v="4"/>
    <s v="Accesorios"/>
    <s v="Miguel Vargas"/>
    <x v="5"/>
    <x v="1"/>
    <n v="13"/>
    <n v="3442"/>
    <n v="44746"/>
    <s v="August"/>
    <s v="22"/>
    <x v="2"/>
    <n v="8"/>
    <x v="6"/>
  </r>
  <r>
    <n v="204"/>
    <s v="2024-05-18"/>
    <x v="4"/>
    <s v="Accesorios"/>
    <s v="Carlos Gómez"/>
    <x v="1"/>
    <x v="0"/>
    <n v="7"/>
    <n v="1438"/>
    <n v="10066"/>
    <s v="May"/>
    <s v="18"/>
    <x v="2"/>
    <n v="5"/>
    <x v="4"/>
  </r>
  <r>
    <n v="205"/>
    <s v="2025-01-05"/>
    <x v="9"/>
    <s v="Accesorios"/>
    <s v="Laura Torres"/>
    <x v="2"/>
    <x v="1"/>
    <n v="6"/>
    <n v="2061"/>
    <n v="12366"/>
    <s v="January"/>
    <s v="05"/>
    <x v="1"/>
    <n v="1"/>
    <x v="3"/>
  </r>
  <r>
    <n v="206"/>
    <s v="2025-07-22"/>
    <x v="5"/>
    <s v="Computadores"/>
    <s v="Juan Hernández"/>
    <x v="6"/>
    <x v="1"/>
    <n v="12"/>
    <n v="3213"/>
    <n v="38556"/>
    <s v="July"/>
    <s v="22"/>
    <x v="1"/>
    <n v="7"/>
    <x v="1"/>
  </r>
  <r>
    <n v="207"/>
    <s v="2023-03-13"/>
    <x v="4"/>
    <s v="Accesorios"/>
    <s v="Pedro Ramírez"/>
    <x v="4"/>
    <x v="1"/>
    <n v="7"/>
    <n v="1294"/>
    <n v="9058"/>
    <s v="March"/>
    <s v="13"/>
    <x v="0"/>
    <n v="3"/>
    <x v="11"/>
  </r>
  <r>
    <n v="208"/>
    <s v="2025-11-16"/>
    <x v="4"/>
    <s v="Accesorios"/>
    <s v="Pedro Ramírez"/>
    <x v="4"/>
    <x v="1"/>
    <n v="4"/>
    <n v="2431"/>
    <n v="9724"/>
    <s v="November"/>
    <s v="16"/>
    <x v="1"/>
    <n v="11"/>
    <x v="8"/>
  </r>
  <r>
    <n v="209"/>
    <s v="2024-10-09"/>
    <x v="3"/>
    <s v="Almacenamiento"/>
    <s v="Miguel Vargas"/>
    <x v="0"/>
    <x v="0"/>
    <n v="2"/>
    <n v="1134"/>
    <n v="2268"/>
    <s v="October"/>
    <s v="09"/>
    <x v="2"/>
    <n v="10"/>
    <x v="10"/>
  </r>
  <r>
    <n v="210"/>
    <s v="2025-08-22"/>
    <x v="0"/>
    <s v="Telefonía"/>
    <s v="Juan Hernández"/>
    <x v="4"/>
    <x v="1"/>
    <n v="15"/>
    <n v="1587"/>
    <n v="23805"/>
    <s v="August"/>
    <s v="22"/>
    <x v="1"/>
    <n v="8"/>
    <x v="1"/>
  </r>
  <r>
    <n v="211"/>
    <s v="2024-06-28"/>
    <x v="2"/>
    <s v="Periféricos"/>
    <s v="Ana Pérez"/>
    <x v="1"/>
    <x v="0"/>
    <n v="11"/>
    <n v="4780"/>
    <n v="52580"/>
    <s v="June"/>
    <s v="28"/>
    <x v="2"/>
    <n v="6"/>
    <x v="4"/>
  </r>
  <r>
    <n v="212"/>
    <s v="2025-01-23"/>
    <x v="3"/>
    <s v="Almacenamiento"/>
    <s v="Diana Morales"/>
    <x v="2"/>
    <x v="1"/>
    <n v="1"/>
    <n v="4399"/>
    <n v="4399"/>
    <s v="January"/>
    <s v="23"/>
    <x v="1"/>
    <n v="1"/>
    <x v="3"/>
  </r>
  <r>
    <n v="213"/>
    <s v="2024-03-29"/>
    <x v="8"/>
    <s v="Accesorios"/>
    <s v="Miguel Vargas"/>
    <x v="3"/>
    <x v="1"/>
    <n v="15"/>
    <n v="2199"/>
    <n v="32985"/>
    <s v="March"/>
    <s v="29"/>
    <x v="2"/>
    <n v="3"/>
    <x v="7"/>
  </r>
  <r>
    <n v="214"/>
    <s v="2023-11-20"/>
    <x v="8"/>
    <s v="Accesorios"/>
    <s v="Carlos Gómez"/>
    <x v="0"/>
    <x v="1"/>
    <n v="12"/>
    <n v="3768"/>
    <n v="45216"/>
    <s v="November"/>
    <s v="20"/>
    <x v="0"/>
    <n v="11"/>
    <x v="2"/>
  </r>
  <r>
    <n v="215"/>
    <s v="2024-01-20"/>
    <x v="6"/>
    <s v="Computadores"/>
    <s v="Sofía Rodríguez"/>
    <x v="3"/>
    <x v="0"/>
    <n v="24"/>
    <n v="2871"/>
    <n v="68904"/>
    <s v="January"/>
    <s v="20"/>
    <x v="2"/>
    <n v="1"/>
    <x v="7"/>
  </r>
  <r>
    <n v="216"/>
    <s v="2025-10-26"/>
    <x v="0"/>
    <s v="Telefonía"/>
    <s v="María López"/>
    <x v="2"/>
    <x v="1"/>
    <n v="25"/>
    <n v="2632"/>
    <n v="65800"/>
    <s v="October"/>
    <s v="26"/>
    <x v="1"/>
    <n v="10"/>
    <x v="8"/>
  </r>
  <r>
    <n v="217"/>
    <s v="2023-02-19"/>
    <x v="6"/>
    <s v="Computadores"/>
    <s v="Luis Castillo"/>
    <x v="1"/>
    <x v="1"/>
    <n v="18"/>
    <n v="2538"/>
    <n v="45684"/>
    <s v="February"/>
    <s v="19"/>
    <x v="0"/>
    <n v="2"/>
    <x v="11"/>
  </r>
  <r>
    <n v="218"/>
    <s v="2025-03-26"/>
    <x v="7"/>
    <s v="Periféricos"/>
    <s v="Pedro Ramírez"/>
    <x v="1"/>
    <x v="0"/>
    <n v="7"/>
    <n v="4259"/>
    <n v="29813"/>
    <s v="March"/>
    <s v="26"/>
    <x v="1"/>
    <n v="3"/>
    <x v="3"/>
  </r>
  <r>
    <n v="219"/>
    <s v="2024-02-12"/>
    <x v="1"/>
    <s v="Accesorios"/>
    <s v="Sofía Rodríguez"/>
    <x v="6"/>
    <x v="0"/>
    <n v="9"/>
    <n v="564"/>
    <n v="5076"/>
    <s v="February"/>
    <s v="12"/>
    <x v="2"/>
    <n v="2"/>
    <x v="7"/>
  </r>
  <r>
    <n v="220"/>
    <s v="2023-06-30"/>
    <x v="7"/>
    <s v="Periféricos"/>
    <s v="Sofía Rodríguez"/>
    <x v="1"/>
    <x v="1"/>
    <n v="7"/>
    <n v="1230"/>
    <n v="8610"/>
    <s v="June"/>
    <s v="30"/>
    <x v="0"/>
    <n v="6"/>
    <x v="9"/>
  </r>
  <r>
    <n v="221"/>
    <s v="2024-11-04"/>
    <x v="7"/>
    <s v="Periféricos"/>
    <s v="Laura Torres"/>
    <x v="0"/>
    <x v="0"/>
    <n v="20"/>
    <n v="417"/>
    <n v="8340"/>
    <s v="November"/>
    <s v="04"/>
    <x v="2"/>
    <n v="11"/>
    <x v="10"/>
  </r>
  <r>
    <n v="222"/>
    <s v="2023-03-13"/>
    <x v="1"/>
    <s v="Accesorios"/>
    <s v="Laura Torres"/>
    <x v="1"/>
    <x v="1"/>
    <n v="1"/>
    <n v="3519"/>
    <n v="3519"/>
    <s v="March"/>
    <s v="13"/>
    <x v="0"/>
    <n v="3"/>
    <x v="11"/>
  </r>
  <r>
    <n v="223"/>
    <s v="2025-09-04"/>
    <x v="7"/>
    <s v="Periféricos"/>
    <s v="Sofía Rodríguez"/>
    <x v="4"/>
    <x v="1"/>
    <n v="5"/>
    <n v="1230"/>
    <n v="6150"/>
    <s v="September"/>
    <s v="04"/>
    <x v="1"/>
    <n v="9"/>
    <x v="1"/>
  </r>
  <r>
    <n v="224"/>
    <s v="2023-01-13"/>
    <x v="4"/>
    <s v="Accesorios"/>
    <s v="Ana Pérez"/>
    <x v="2"/>
    <x v="0"/>
    <n v="1"/>
    <n v="1367"/>
    <n v="1367"/>
    <s v="January"/>
    <s v="13"/>
    <x v="0"/>
    <n v="1"/>
    <x v="11"/>
  </r>
  <r>
    <n v="225"/>
    <s v="2024-06-08"/>
    <x v="5"/>
    <s v="Computadores"/>
    <s v="Ana Pérez"/>
    <x v="6"/>
    <x v="0"/>
    <n v="15"/>
    <n v="4397"/>
    <n v="65955"/>
    <s v="June"/>
    <s v="08"/>
    <x v="2"/>
    <n v="6"/>
    <x v="4"/>
  </r>
  <r>
    <n v="226"/>
    <s v="2025-11-04"/>
    <x v="0"/>
    <s v="Telefonía"/>
    <s v="Juan Hernández"/>
    <x v="1"/>
    <x v="0"/>
    <n v="24"/>
    <n v="4043"/>
    <n v="97032"/>
    <s v="November"/>
    <s v="04"/>
    <x v="1"/>
    <n v="11"/>
    <x v="8"/>
  </r>
  <r>
    <n v="227"/>
    <s v="2024-06-11"/>
    <x v="8"/>
    <s v="Accesorios"/>
    <s v="Diana Morales"/>
    <x v="2"/>
    <x v="0"/>
    <n v="13"/>
    <n v="664"/>
    <n v="8632"/>
    <s v="June"/>
    <s v="11"/>
    <x v="2"/>
    <n v="6"/>
    <x v="4"/>
  </r>
  <r>
    <n v="228"/>
    <s v="2024-11-08"/>
    <x v="5"/>
    <s v="Computadores"/>
    <s v="Carlos Gómez"/>
    <x v="6"/>
    <x v="0"/>
    <n v="6"/>
    <n v="4749"/>
    <n v="28494"/>
    <s v="November"/>
    <s v="08"/>
    <x v="2"/>
    <n v="11"/>
    <x v="10"/>
  </r>
  <r>
    <n v="229"/>
    <s v="2023-11-13"/>
    <x v="7"/>
    <s v="Periféricos"/>
    <s v="Pedro Ramírez"/>
    <x v="6"/>
    <x v="1"/>
    <n v="7"/>
    <n v="2507"/>
    <n v="17549"/>
    <s v="November"/>
    <s v="13"/>
    <x v="0"/>
    <n v="11"/>
    <x v="2"/>
  </r>
  <r>
    <n v="230"/>
    <s v="2023-06-17"/>
    <x v="5"/>
    <s v="Computadores"/>
    <s v="Laura Torres"/>
    <x v="0"/>
    <x v="1"/>
    <n v="23"/>
    <n v="3931"/>
    <n v="90413"/>
    <s v="June"/>
    <s v="17"/>
    <x v="0"/>
    <n v="6"/>
    <x v="9"/>
  </r>
  <r>
    <n v="231"/>
    <s v="2025-02-18"/>
    <x v="4"/>
    <s v="Accesorios"/>
    <s v="Pedro Ramírez"/>
    <x v="5"/>
    <x v="0"/>
    <n v="1"/>
    <n v="751"/>
    <n v="751"/>
    <s v="February"/>
    <s v="18"/>
    <x v="1"/>
    <n v="2"/>
    <x v="3"/>
  </r>
  <r>
    <n v="232"/>
    <s v="2025-02-07"/>
    <x v="2"/>
    <s v="Periféricos"/>
    <s v="Juan Hernández"/>
    <x v="1"/>
    <x v="1"/>
    <n v="23"/>
    <n v="4427"/>
    <n v="101821"/>
    <s v="February"/>
    <s v="07"/>
    <x v="1"/>
    <n v="2"/>
    <x v="3"/>
  </r>
  <r>
    <n v="233"/>
    <s v="2023-03-29"/>
    <x v="2"/>
    <s v="Periféricos"/>
    <s v="Miguel Vargas"/>
    <x v="1"/>
    <x v="0"/>
    <n v="19"/>
    <n v="1788"/>
    <n v="33972"/>
    <s v="March"/>
    <s v="29"/>
    <x v="0"/>
    <n v="3"/>
    <x v="11"/>
  </r>
  <r>
    <n v="234"/>
    <s v="2025-10-21"/>
    <x v="9"/>
    <s v="Accesorios"/>
    <s v="Miguel Vargas"/>
    <x v="5"/>
    <x v="0"/>
    <n v="23"/>
    <n v="2719"/>
    <n v="62537"/>
    <s v="October"/>
    <s v="21"/>
    <x v="1"/>
    <n v="10"/>
    <x v="8"/>
  </r>
  <r>
    <n v="235"/>
    <s v="2024-08-25"/>
    <x v="6"/>
    <s v="Computadores"/>
    <s v="Diana Morales"/>
    <x v="3"/>
    <x v="0"/>
    <n v="25"/>
    <n v="2619"/>
    <n v="65475"/>
    <s v="August"/>
    <s v="25"/>
    <x v="2"/>
    <n v="8"/>
    <x v="6"/>
  </r>
  <r>
    <n v="236"/>
    <s v="2025-07-13"/>
    <x v="4"/>
    <s v="Accesorios"/>
    <s v="Luis Castillo"/>
    <x v="6"/>
    <x v="1"/>
    <n v="23"/>
    <n v="1680"/>
    <n v="38640"/>
    <s v="July"/>
    <s v="13"/>
    <x v="1"/>
    <n v="7"/>
    <x v="1"/>
  </r>
  <r>
    <n v="237"/>
    <s v="2023-01-10"/>
    <x v="0"/>
    <s v="Telefonía"/>
    <s v="María López"/>
    <x v="1"/>
    <x v="1"/>
    <n v="1"/>
    <n v="1719"/>
    <n v="1719"/>
    <s v="January"/>
    <s v="10"/>
    <x v="0"/>
    <n v="1"/>
    <x v="11"/>
  </r>
  <r>
    <n v="238"/>
    <s v="2023-01-10"/>
    <x v="7"/>
    <s v="Periféricos"/>
    <s v="Pedro Ramírez"/>
    <x v="3"/>
    <x v="1"/>
    <n v="18"/>
    <n v="2891"/>
    <n v="52038"/>
    <s v="January"/>
    <s v="10"/>
    <x v="0"/>
    <n v="1"/>
    <x v="11"/>
  </r>
  <r>
    <n v="239"/>
    <s v="2023-12-13"/>
    <x v="6"/>
    <s v="Computadores"/>
    <s v="María López"/>
    <x v="3"/>
    <x v="0"/>
    <n v="19"/>
    <n v="2619"/>
    <n v="49761"/>
    <s v="December"/>
    <s v="13"/>
    <x v="0"/>
    <n v="12"/>
    <x v="2"/>
  </r>
  <r>
    <n v="240"/>
    <s v="2023-05-23"/>
    <x v="9"/>
    <s v="Accesorios"/>
    <s v="María López"/>
    <x v="3"/>
    <x v="0"/>
    <n v="5"/>
    <n v="619"/>
    <n v="3095"/>
    <s v="May"/>
    <s v="23"/>
    <x v="0"/>
    <n v="5"/>
    <x v="9"/>
  </r>
  <r>
    <n v="241"/>
    <s v="2025-06-02"/>
    <x v="2"/>
    <s v="Periféricos"/>
    <s v="María López"/>
    <x v="4"/>
    <x v="0"/>
    <n v="11"/>
    <n v="1931"/>
    <n v="21241"/>
    <s v="June"/>
    <s v="02"/>
    <x v="1"/>
    <n v="6"/>
    <x v="5"/>
  </r>
  <r>
    <n v="242"/>
    <s v="2025-03-12"/>
    <x v="2"/>
    <s v="Periféricos"/>
    <s v="Diana Morales"/>
    <x v="1"/>
    <x v="0"/>
    <n v="24"/>
    <n v="1964"/>
    <n v="47136"/>
    <s v="March"/>
    <s v="12"/>
    <x v="1"/>
    <n v="3"/>
    <x v="3"/>
  </r>
  <r>
    <n v="243"/>
    <s v="2024-11-04"/>
    <x v="2"/>
    <s v="Periféricos"/>
    <s v="Pedro Ramírez"/>
    <x v="6"/>
    <x v="0"/>
    <n v="11"/>
    <n v="3257"/>
    <n v="35827"/>
    <s v="November"/>
    <s v="04"/>
    <x v="2"/>
    <n v="11"/>
    <x v="10"/>
  </r>
  <r>
    <n v="244"/>
    <s v="2025-04-22"/>
    <x v="0"/>
    <s v="Telefonía"/>
    <s v="Luis Castillo"/>
    <x v="4"/>
    <x v="1"/>
    <n v="20"/>
    <n v="1267"/>
    <n v="25340"/>
    <s v="April"/>
    <s v="22"/>
    <x v="1"/>
    <n v="4"/>
    <x v="5"/>
  </r>
  <r>
    <n v="245"/>
    <s v="2025-07-27"/>
    <x v="0"/>
    <s v="Telefonía"/>
    <s v="Luis Castillo"/>
    <x v="4"/>
    <x v="0"/>
    <n v="6"/>
    <n v="1313"/>
    <n v="7878"/>
    <s v="July"/>
    <s v="27"/>
    <x v="1"/>
    <n v="7"/>
    <x v="1"/>
  </r>
  <r>
    <n v="246"/>
    <s v="2023-02-11"/>
    <x v="5"/>
    <s v="Computadores"/>
    <s v="Pedro Ramírez"/>
    <x v="0"/>
    <x v="0"/>
    <n v="12"/>
    <n v="2871"/>
    <n v="34452"/>
    <s v="February"/>
    <s v="11"/>
    <x v="0"/>
    <n v="2"/>
    <x v="11"/>
  </r>
  <r>
    <n v="247"/>
    <s v="2023-01-09"/>
    <x v="8"/>
    <s v="Accesorios"/>
    <s v="Juan Hernández"/>
    <x v="0"/>
    <x v="0"/>
    <n v="7"/>
    <n v="4052"/>
    <n v="28364"/>
    <s v="January"/>
    <s v="09"/>
    <x v="0"/>
    <n v="1"/>
    <x v="11"/>
  </r>
  <r>
    <n v="248"/>
    <s v="2025-08-10"/>
    <x v="4"/>
    <s v="Accesorios"/>
    <s v="Sofía Rodríguez"/>
    <x v="3"/>
    <x v="0"/>
    <n v="1"/>
    <n v="2912"/>
    <n v="2912"/>
    <s v="August"/>
    <s v="10"/>
    <x v="1"/>
    <n v="8"/>
    <x v="1"/>
  </r>
  <r>
    <n v="249"/>
    <s v="2024-08-15"/>
    <x v="4"/>
    <s v="Accesorios"/>
    <s v="Luis Castillo"/>
    <x v="0"/>
    <x v="0"/>
    <n v="14"/>
    <n v="133"/>
    <n v="1862"/>
    <s v="August"/>
    <s v="15"/>
    <x v="2"/>
    <n v="8"/>
    <x v="6"/>
  </r>
  <r>
    <n v="250"/>
    <s v="2024-05-24"/>
    <x v="2"/>
    <s v="Periféricos"/>
    <s v="Carlos Gómez"/>
    <x v="6"/>
    <x v="1"/>
    <n v="10"/>
    <n v="2621"/>
    <n v="26210"/>
    <s v="May"/>
    <s v="24"/>
    <x v="2"/>
    <n v="5"/>
    <x v="4"/>
  </r>
  <r>
    <n v="251"/>
    <s v="2025-03-27"/>
    <x v="8"/>
    <s v="Accesorios"/>
    <s v="Laura Torres"/>
    <x v="3"/>
    <x v="0"/>
    <n v="15"/>
    <n v="814"/>
    <n v="12210"/>
    <s v="March"/>
    <s v="27"/>
    <x v="1"/>
    <n v="3"/>
    <x v="3"/>
  </r>
  <r>
    <n v="252"/>
    <s v="2024-08-01"/>
    <x v="8"/>
    <s v="Accesorios"/>
    <s v="Luis Castillo"/>
    <x v="3"/>
    <x v="0"/>
    <n v="17"/>
    <n v="3091"/>
    <n v="52547"/>
    <s v="August"/>
    <s v="01"/>
    <x v="2"/>
    <n v="8"/>
    <x v="6"/>
  </r>
  <r>
    <n v="253"/>
    <s v="2025-10-05"/>
    <x v="8"/>
    <s v="Accesorios"/>
    <s v="Sofía Rodríguez"/>
    <x v="6"/>
    <x v="1"/>
    <n v="20"/>
    <n v="2084"/>
    <n v="41680"/>
    <s v="October"/>
    <s v="05"/>
    <x v="1"/>
    <n v="10"/>
    <x v="8"/>
  </r>
  <r>
    <n v="254"/>
    <s v="2023-04-02"/>
    <x v="3"/>
    <s v="Almacenamiento"/>
    <s v="Laura Torres"/>
    <x v="1"/>
    <x v="0"/>
    <n v="7"/>
    <n v="3335"/>
    <n v="23345"/>
    <s v="April"/>
    <s v="02"/>
    <x v="0"/>
    <n v="4"/>
    <x v="9"/>
  </r>
  <r>
    <n v="255"/>
    <s v="2024-02-21"/>
    <x v="3"/>
    <s v="Almacenamiento"/>
    <s v="Carlos Gómez"/>
    <x v="1"/>
    <x v="1"/>
    <n v="16"/>
    <n v="524"/>
    <n v="8384"/>
    <s v="February"/>
    <s v="21"/>
    <x v="2"/>
    <n v="2"/>
    <x v="7"/>
  </r>
  <r>
    <n v="256"/>
    <s v="2024-12-31"/>
    <x v="9"/>
    <s v="Accesorios"/>
    <s v="Diana Morales"/>
    <x v="0"/>
    <x v="1"/>
    <n v="18"/>
    <n v="3245"/>
    <n v="58410"/>
    <s v="December"/>
    <s v="31"/>
    <x v="2"/>
    <n v="12"/>
    <x v="10"/>
  </r>
  <r>
    <n v="257"/>
    <s v="2025-10-01"/>
    <x v="4"/>
    <s v="Accesorios"/>
    <s v="Juan Hernández"/>
    <x v="0"/>
    <x v="1"/>
    <n v="1"/>
    <n v="4889"/>
    <n v="4889"/>
    <s v="October"/>
    <s v="01"/>
    <x v="1"/>
    <n v="10"/>
    <x v="8"/>
  </r>
  <r>
    <n v="258"/>
    <s v="2025-10-11"/>
    <x v="2"/>
    <s v="Periféricos"/>
    <s v="Sofía Rodríguez"/>
    <x v="3"/>
    <x v="0"/>
    <n v="2"/>
    <n v="3653"/>
    <n v="7306"/>
    <s v="October"/>
    <s v="11"/>
    <x v="1"/>
    <n v="10"/>
    <x v="8"/>
  </r>
  <r>
    <n v="259"/>
    <s v="2024-09-08"/>
    <x v="5"/>
    <s v="Computadores"/>
    <s v="Miguel Vargas"/>
    <x v="6"/>
    <x v="0"/>
    <n v="5"/>
    <n v="2816"/>
    <n v="14080"/>
    <s v="September"/>
    <s v="08"/>
    <x v="2"/>
    <n v="9"/>
    <x v="6"/>
  </r>
  <r>
    <n v="260"/>
    <s v="2023-09-24"/>
    <x v="4"/>
    <s v="Accesorios"/>
    <s v="Ana Pérez"/>
    <x v="0"/>
    <x v="1"/>
    <n v="3"/>
    <n v="1667"/>
    <n v="5001"/>
    <s v="September"/>
    <s v="24"/>
    <x v="0"/>
    <n v="9"/>
    <x v="0"/>
  </r>
  <r>
    <n v="261"/>
    <s v="2023-11-22"/>
    <x v="5"/>
    <s v="Computadores"/>
    <s v="María López"/>
    <x v="0"/>
    <x v="0"/>
    <n v="12"/>
    <n v="1675"/>
    <n v="20100"/>
    <s v="November"/>
    <s v="22"/>
    <x v="0"/>
    <n v="11"/>
    <x v="2"/>
  </r>
  <r>
    <n v="262"/>
    <s v="2025-01-26"/>
    <x v="8"/>
    <s v="Accesorios"/>
    <s v="Pedro Ramírez"/>
    <x v="5"/>
    <x v="1"/>
    <n v="12"/>
    <n v="4085"/>
    <n v="49020"/>
    <s v="January"/>
    <s v="26"/>
    <x v="1"/>
    <n v="1"/>
    <x v="3"/>
  </r>
  <r>
    <n v="263"/>
    <s v="2024-09-08"/>
    <x v="3"/>
    <s v="Almacenamiento"/>
    <s v="Miguel Vargas"/>
    <x v="2"/>
    <x v="1"/>
    <n v="21"/>
    <n v="248"/>
    <n v="5208"/>
    <s v="September"/>
    <s v="08"/>
    <x v="2"/>
    <n v="9"/>
    <x v="6"/>
  </r>
  <r>
    <n v="264"/>
    <s v="2024-01-14"/>
    <x v="6"/>
    <s v="Computadores"/>
    <s v="Sofía Rodríguez"/>
    <x v="6"/>
    <x v="0"/>
    <n v="22"/>
    <n v="3395"/>
    <n v="74690"/>
    <s v="January"/>
    <s v="14"/>
    <x v="2"/>
    <n v="1"/>
    <x v="7"/>
  </r>
  <r>
    <n v="265"/>
    <s v="2024-01-21"/>
    <x v="4"/>
    <s v="Accesorios"/>
    <s v="Laura Torres"/>
    <x v="3"/>
    <x v="1"/>
    <n v="21"/>
    <n v="1866"/>
    <n v="39186"/>
    <s v="January"/>
    <s v="21"/>
    <x v="2"/>
    <n v="1"/>
    <x v="7"/>
  </r>
  <r>
    <n v="266"/>
    <s v="2024-01-20"/>
    <x v="1"/>
    <s v="Accesorios"/>
    <s v="Laura Torres"/>
    <x v="4"/>
    <x v="1"/>
    <n v="16"/>
    <n v="4001"/>
    <n v="64016"/>
    <s v="January"/>
    <s v="20"/>
    <x v="2"/>
    <n v="1"/>
    <x v="7"/>
  </r>
  <r>
    <n v="267"/>
    <s v="2023-03-12"/>
    <x v="2"/>
    <s v="Periféricos"/>
    <s v="Sofía Rodríguez"/>
    <x v="2"/>
    <x v="1"/>
    <n v="12"/>
    <n v="4191"/>
    <n v="50292"/>
    <s v="March"/>
    <s v="12"/>
    <x v="0"/>
    <n v="3"/>
    <x v="11"/>
  </r>
  <r>
    <n v="268"/>
    <s v="2023-12-21"/>
    <x v="2"/>
    <s v="Periféricos"/>
    <s v="Luis Castillo"/>
    <x v="4"/>
    <x v="0"/>
    <n v="3"/>
    <n v="762"/>
    <n v="2286"/>
    <s v="December"/>
    <s v="21"/>
    <x v="0"/>
    <n v="12"/>
    <x v="2"/>
  </r>
  <r>
    <n v="269"/>
    <s v="2025-04-07"/>
    <x v="4"/>
    <s v="Accesorios"/>
    <s v="Diana Morales"/>
    <x v="6"/>
    <x v="1"/>
    <n v="12"/>
    <n v="2882"/>
    <n v="34584"/>
    <s v="April"/>
    <s v="07"/>
    <x v="1"/>
    <n v="4"/>
    <x v="5"/>
  </r>
  <r>
    <n v="270"/>
    <s v="2023-04-05"/>
    <x v="6"/>
    <s v="Computadores"/>
    <s v="Juan Hernández"/>
    <x v="1"/>
    <x v="1"/>
    <n v="11"/>
    <n v="3467"/>
    <n v="38137"/>
    <s v="April"/>
    <s v="05"/>
    <x v="0"/>
    <n v="4"/>
    <x v="9"/>
  </r>
  <r>
    <n v="271"/>
    <s v="2023-02-23"/>
    <x v="3"/>
    <s v="Almacenamiento"/>
    <s v="Ana Pérez"/>
    <x v="3"/>
    <x v="1"/>
    <n v="4"/>
    <n v="295"/>
    <n v="1180"/>
    <s v="February"/>
    <s v="23"/>
    <x v="0"/>
    <n v="2"/>
    <x v="11"/>
  </r>
  <r>
    <n v="272"/>
    <s v="2025-08-21"/>
    <x v="5"/>
    <s v="Computadores"/>
    <s v="Juan Hernández"/>
    <x v="4"/>
    <x v="1"/>
    <n v="5"/>
    <n v="3205"/>
    <n v="16025"/>
    <s v="August"/>
    <s v="21"/>
    <x v="1"/>
    <n v="8"/>
    <x v="1"/>
  </r>
  <r>
    <n v="273"/>
    <s v="2025-11-24"/>
    <x v="3"/>
    <s v="Almacenamiento"/>
    <s v="Juan Hernández"/>
    <x v="3"/>
    <x v="1"/>
    <n v="10"/>
    <n v="3855"/>
    <n v="38550"/>
    <s v="November"/>
    <s v="24"/>
    <x v="1"/>
    <n v="11"/>
    <x v="8"/>
  </r>
  <r>
    <n v="274"/>
    <s v="2023-12-12"/>
    <x v="6"/>
    <s v="Computadores"/>
    <s v="Miguel Vargas"/>
    <x v="2"/>
    <x v="1"/>
    <n v="3"/>
    <n v="1229"/>
    <n v="3687"/>
    <s v="December"/>
    <s v="12"/>
    <x v="0"/>
    <n v="12"/>
    <x v="2"/>
  </r>
  <r>
    <n v="275"/>
    <s v="2024-04-05"/>
    <x v="9"/>
    <s v="Accesorios"/>
    <s v="Miguel Vargas"/>
    <x v="6"/>
    <x v="0"/>
    <n v="12"/>
    <n v="1320"/>
    <n v="15840"/>
    <s v="April"/>
    <s v="05"/>
    <x v="2"/>
    <n v="4"/>
    <x v="4"/>
  </r>
  <r>
    <n v="276"/>
    <s v="2023-08-26"/>
    <x v="1"/>
    <s v="Accesorios"/>
    <s v="Luis Castillo"/>
    <x v="0"/>
    <x v="0"/>
    <n v="5"/>
    <n v="2643"/>
    <n v="13215"/>
    <s v="August"/>
    <s v="26"/>
    <x v="0"/>
    <n v="8"/>
    <x v="0"/>
  </r>
  <r>
    <n v="277"/>
    <s v="2023-03-03"/>
    <x v="4"/>
    <s v="Accesorios"/>
    <s v="Sofía Rodríguez"/>
    <x v="5"/>
    <x v="0"/>
    <n v="24"/>
    <n v="2219"/>
    <n v="53256"/>
    <s v="March"/>
    <s v="03"/>
    <x v="0"/>
    <n v="3"/>
    <x v="11"/>
  </r>
  <r>
    <n v="278"/>
    <s v="2025-03-06"/>
    <x v="7"/>
    <s v="Periféricos"/>
    <s v="Pedro Ramírez"/>
    <x v="1"/>
    <x v="1"/>
    <n v="9"/>
    <n v="1739"/>
    <n v="15651"/>
    <s v="March"/>
    <s v="06"/>
    <x v="1"/>
    <n v="3"/>
    <x v="3"/>
  </r>
  <r>
    <n v="279"/>
    <s v="2023-12-26"/>
    <x v="0"/>
    <s v="Telefonía"/>
    <s v="Miguel Vargas"/>
    <x v="1"/>
    <x v="1"/>
    <n v="18"/>
    <n v="1243"/>
    <n v="22374"/>
    <s v="December"/>
    <s v="26"/>
    <x v="0"/>
    <n v="12"/>
    <x v="2"/>
  </r>
  <r>
    <n v="280"/>
    <s v="2023-05-28"/>
    <x v="5"/>
    <s v="Computadores"/>
    <s v="Pedro Ramírez"/>
    <x v="6"/>
    <x v="1"/>
    <n v="12"/>
    <n v="3457"/>
    <n v="41484"/>
    <s v="May"/>
    <s v="28"/>
    <x v="0"/>
    <n v="5"/>
    <x v="9"/>
  </r>
  <r>
    <n v="281"/>
    <s v="2023-11-24"/>
    <x v="2"/>
    <s v="Periféricos"/>
    <s v="Pedro Ramírez"/>
    <x v="3"/>
    <x v="0"/>
    <n v="18"/>
    <n v="426"/>
    <n v="7668"/>
    <s v="November"/>
    <s v="24"/>
    <x v="0"/>
    <n v="11"/>
    <x v="2"/>
  </r>
  <r>
    <n v="282"/>
    <s v="2025-05-30"/>
    <x v="8"/>
    <s v="Accesorios"/>
    <s v="Luis Castillo"/>
    <x v="3"/>
    <x v="0"/>
    <n v="21"/>
    <n v="4268"/>
    <n v="89628"/>
    <s v="May"/>
    <s v="30"/>
    <x v="1"/>
    <n v="5"/>
    <x v="5"/>
  </r>
  <r>
    <n v="283"/>
    <s v="2025-03-03"/>
    <x v="1"/>
    <s v="Accesorios"/>
    <s v="Diana Morales"/>
    <x v="3"/>
    <x v="1"/>
    <n v="9"/>
    <n v="4031"/>
    <n v="36279"/>
    <s v="March"/>
    <s v="03"/>
    <x v="1"/>
    <n v="3"/>
    <x v="3"/>
  </r>
  <r>
    <n v="284"/>
    <s v="2023-05-09"/>
    <x v="1"/>
    <s v="Accesorios"/>
    <s v="María López"/>
    <x v="5"/>
    <x v="1"/>
    <n v="11"/>
    <n v="3836"/>
    <n v="42196"/>
    <s v="May"/>
    <s v="09"/>
    <x v="0"/>
    <n v="5"/>
    <x v="9"/>
  </r>
  <r>
    <n v="285"/>
    <s v="2025-05-06"/>
    <x v="0"/>
    <s v="Telefonía"/>
    <s v="Carlos Gómez"/>
    <x v="1"/>
    <x v="0"/>
    <n v="1"/>
    <n v="1568"/>
    <n v="1568"/>
    <s v="May"/>
    <s v="06"/>
    <x v="1"/>
    <n v="5"/>
    <x v="5"/>
  </r>
  <r>
    <n v="286"/>
    <s v="2025-09-13"/>
    <x v="2"/>
    <s v="Periféricos"/>
    <s v="María López"/>
    <x v="5"/>
    <x v="1"/>
    <n v="14"/>
    <n v="1610"/>
    <n v="22540"/>
    <s v="September"/>
    <s v="13"/>
    <x v="1"/>
    <n v="9"/>
    <x v="1"/>
  </r>
  <r>
    <n v="287"/>
    <s v="2024-04-04"/>
    <x v="8"/>
    <s v="Accesorios"/>
    <s v="María López"/>
    <x v="3"/>
    <x v="0"/>
    <n v="4"/>
    <n v="1580"/>
    <n v="6320"/>
    <s v="April"/>
    <s v="04"/>
    <x v="2"/>
    <n v="4"/>
    <x v="4"/>
  </r>
  <r>
    <n v="288"/>
    <s v="2023-11-27"/>
    <x v="3"/>
    <s v="Almacenamiento"/>
    <s v="Juan Hernández"/>
    <x v="5"/>
    <x v="1"/>
    <n v="2"/>
    <n v="930"/>
    <n v="1860"/>
    <s v="November"/>
    <s v="27"/>
    <x v="0"/>
    <n v="11"/>
    <x v="2"/>
  </r>
  <r>
    <n v="289"/>
    <s v="2025-08-20"/>
    <x v="8"/>
    <s v="Accesorios"/>
    <s v="Laura Torres"/>
    <x v="6"/>
    <x v="1"/>
    <n v="14"/>
    <n v="920"/>
    <n v="12880"/>
    <s v="August"/>
    <s v="20"/>
    <x v="1"/>
    <n v="8"/>
    <x v="1"/>
  </r>
  <r>
    <n v="290"/>
    <s v="2024-07-17"/>
    <x v="1"/>
    <s v="Accesorios"/>
    <s v="Ana Pérez"/>
    <x v="4"/>
    <x v="0"/>
    <n v="5"/>
    <n v="2058"/>
    <n v="10290"/>
    <s v="July"/>
    <s v="17"/>
    <x v="2"/>
    <n v="7"/>
    <x v="6"/>
  </r>
  <r>
    <n v="291"/>
    <s v="2024-11-15"/>
    <x v="5"/>
    <s v="Computadores"/>
    <s v="Juan Hernández"/>
    <x v="6"/>
    <x v="0"/>
    <n v="7"/>
    <n v="754"/>
    <n v="5278"/>
    <s v="November"/>
    <s v="15"/>
    <x v="2"/>
    <n v="11"/>
    <x v="10"/>
  </r>
  <r>
    <n v="292"/>
    <s v="2025-01-30"/>
    <x v="3"/>
    <s v="Almacenamiento"/>
    <s v="Diana Morales"/>
    <x v="4"/>
    <x v="1"/>
    <n v="9"/>
    <n v="2933"/>
    <n v="26397"/>
    <s v="January"/>
    <s v="30"/>
    <x v="1"/>
    <n v="1"/>
    <x v="3"/>
  </r>
  <r>
    <n v="293"/>
    <s v="2025-11-01"/>
    <x v="0"/>
    <s v="Telefonía"/>
    <s v="Sofía Rodríguez"/>
    <x v="6"/>
    <x v="0"/>
    <n v="23"/>
    <n v="4231"/>
    <n v="97313"/>
    <s v="November"/>
    <s v="01"/>
    <x v="1"/>
    <n v="11"/>
    <x v="8"/>
  </r>
  <r>
    <n v="294"/>
    <s v="2025-03-18"/>
    <x v="4"/>
    <s v="Accesorios"/>
    <s v="Juan Hernández"/>
    <x v="1"/>
    <x v="0"/>
    <n v="24"/>
    <n v="1315"/>
    <n v="31560"/>
    <s v="March"/>
    <s v="18"/>
    <x v="1"/>
    <n v="3"/>
    <x v="3"/>
  </r>
  <r>
    <n v="295"/>
    <s v="2023-02-11"/>
    <x v="2"/>
    <s v="Periféricos"/>
    <s v="Miguel Vargas"/>
    <x v="2"/>
    <x v="1"/>
    <n v="3"/>
    <n v="2271"/>
    <n v="6813"/>
    <s v="February"/>
    <s v="11"/>
    <x v="0"/>
    <n v="2"/>
    <x v="11"/>
  </r>
  <r>
    <n v="296"/>
    <s v="2025-05-17"/>
    <x v="9"/>
    <s v="Accesorios"/>
    <s v="Miguel Vargas"/>
    <x v="6"/>
    <x v="1"/>
    <n v="11"/>
    <n v="3145"/>
    <n v="34595"/>
    <s v="May"/>
    <s v="17"/>
    <x v="1"/>
    <n v="5"/>
    <x v="5"/>
  </r>
  <r>
    <n v="297"/>
    <s v="2025-02-14"/>
    <x v="3"/>
    <s v="Almacenamiento"/>
    <s v="Miguel Vargas"/>
    <x v="6"/>
    <x v="1"/>
    <n v="24"/>
    <n v="3649"/>
    <n v="87576"/>
    <s v="February"/>
    <s v="14"/>
    <x v="1"/>
    <n v="2"/>
    <x v="3"/>
  </r>
  <r>
    <n v="298"/>
    <s v="2024-08-11"/>
    <x v="9"/>
    <s v="Accesorios"/>
    <s v="Laura Torres"/>
    <x v="3"/>
    <x v="1"/>
    <n v="21"/>
    <n v="1399"/>
    <n v="29379"/>
    <s v="August"/>
    <s v="11"/>
    <x v="2"/>
    <n v="8"/>
    <x v="6"/>
  </r>
  <r>
    <n v="299"/>
    <s v="2023-08-27"/>
    <x v="0"/>
    <s v="Telefonía"/>
    <s v="Ana Pérez"/>
    <x v="4"/>
    <x v="1"/>
    <n v="12"/>
    <n v="4191"/>
    <n v="50292"/>
    <s v="August"/>
    <s v="27"/>
    <x v="0"/>
    <n v="8"/>
    <x v="0"/>
  </r>
  <r>
    <n v="300"/>
    <s v="2023-11-05"/>
    <x v="2"/>
    <s v="Periféricos"/>
    <s v="Juan Hernández"/>
    <x v="1"/>
    <x v="0"/>
    <n v="4"/>
    <n v="4219"/>
    <n v="16876"/>
    <s v="November"/>
    <s v="05"/>
    <x v="0"/>
    <n v="11"/>
    <x v="2"/>
  </r>
  <r>
    <n v="301"/>
    <s v="2023-06-16"/>
    <x v="2"/>
    <s v="Periféricos"/>
    <s v="Ana Pérez"/>
    <x v="6"/>
    <x v="0"/>
    <n v="21"/>
    <n v="3494"/>
    <n v="73374"/>
    <s v="June"/>
    <s v="16"/>
    <x v="0"/>
    <n v="6"/>
    <x v="9"/>
  </r>
  <r>
    <n v="302"/>
    <s v="2023-01-07"/>
    <x v="3"/>
    <s v="Almacenamiento"/>
    <s v="Diana Morales"/>
    <x v="4"/>
    <x v="1"/>
    <n v="22"/>
    <n v="3787"/>
    <n v="83314"/>
    <s v="January"/>
    <s v="07"/>
    <x v="0"/>
    <n v="1"/>
    <x v="11"/>
  </r>
  <r>
    <n v="303"/>
    <s v="2025-08-09"/>
    <x v="0"/>
    <s v="Telefonía"/>
    <s v="Miguel Vargas"/>
    <x v="3"/>
    <x v="1"/>
    <n v="7"/>
    <n v="893"/>
    <n v="6251"/>
    <s v="August"/>
    <s v="09"/>
    <x v="1"/>
    <n v="8"/>
    <x v="1"/>
  </r>
  <r>
    <n v="304"/>
    <s v="2023-06-03"/>
    <x v="1"/>
    <s v="Accesorios"/>
    <s v="Juan Hernández"/>
    <x v="5"/>
    <x v="1"/>
    <n v="23"/>
    <n v="3624"/>
    <n v="83352"/>
    <s v="June"/>
    <s v="03"/>
    <x v="0"/>
    <n v="6"/>
    <x v="9"/>
  </r>
  <r>
    <n v="305"/>
    <s v="2025-04-26"/>
    <x v="3"/>
    <s v="Almacenamiento"/>
    <s v="Laura Torres"/>
    <x v="4"/>
    <x v="1"/>
    <n v="19"/>
    <n v="2064"/>
    <n v="39216"/>
    <s v="April"/>
    <s v="26"/>
    <x v="1"/>
    <n v="4"/>
    <x v="5"/>
  </r>
  <r>
    <n v="306"/>
    <s v="2024-05-04"/>
    <x v="4"/>
    <s v="Accesorios"/>
    <s v="Ana Pérez"/>
    <x v="2"/>
    <x v="1"/>
    <n v="20"/>
    <n v="745"/>
    <n v="14900"/>
    <s v="May"/>
    <s v="04"/>
    <x v="2"/>
    <n v="5"/>
    <x v="4"/>
  </r>
  <r>
    <n v="307"/>
    <s v="2024-11-23"/>
    <x v="7"/>
    <s v="Periféricos"/>
    <s v="Diana Morales"/>
    <x v="3"/>
    <x v="0"/>
    <n v="21"/>
    <n v="1259"/>
    <n v="26439"/>
    <s v="November"/>
    <s v="23"/>
    <x v="2"/>
    <n v="11"/>
    <x v="10"/>
  </r>
  <r>
    <n v="308"/>
    <s v="2024-06-12"/>
    <x v="0"/>
    <s v="Telefonía"/>
    <s v="Laura Torres"/>
    <x v="0"/>
    <x v="0"/>
    <n v="1"/>
    <n v="768"/>
    <n v="768"/>
    <s v="June"/>
    <s v="12"/>
    <x v="2"/>
    <n v="6"/>
    <x v="4"/>
  </r>
  <r>
    <n v="309"/>
    <s v="2023-08-07"/>
    <x v="6"/>
    <s v="Computadores"/>
    <s v="Luis Castillo"/>
    <x v="4"/>
    <x v="0"/>
    <n v="6"/>
    <n v="4333"/>
    <n v="25998"/>
    <s v="August"/>
    <s v="07"/>
    <x v="0"/>
    <n v="8"/>
    <x v="0"/>
  </r>
  <r>
    <n v="310"/>
    <s v="2023-08-03"/>
    <x v="9"/>
    <s v="Accesorios"/>
    <s v="Ana Pérez"/>
    <x v="6"/>
    <x v="0"/>
    <n v="1"/>
    <n v="339"/>
    <n v="339"/>
    <s v="August"/>
    <s v="03"/>
    <x v="0"/>
    <n v="8"/>
    <x v="0"/>
  </r>
  <r>
    <n v="311"/>
    <s v="2023-03-22"/>
    <x v="6"/>
    <s v="Computadores"/>
    <s v="Luis Castillo"/>
    <x v="6"/>
    <x v="1"/>
    <n v="21"/>
    <n v="3413"/>
    <n v="71673"/>
    <s v="March"/>
    <s v="22"/>
    <x v="0"/>
    <n v="3"/>
    <x v="11"/>
  </r>
  <r>
    <n v="312"/>
    <s v="2025-06-10"/>
    <x v="0"/>
    <s v="Telefonía"/>
    <s v="Sofía Rodríguez"/>
    <x v="4"/>
    <x v="1"/>
    <n v="24"/>
    <n v="3395"/>
    <n v="81480"/>
    <s v="June"/>
    <s v="10"/>
    <x v="1"/>
    <n v="6"/>
    <x v="5"/>
  </r>
  <r>
    <n v="313"/>
    <s v="2023-05-12"/>
    <x v="7"/>
    <s v="Periféricos"/>
    <s v="Laura Torres"/>
    <x v="2"/>
    <x v="1"/>
    <n v="12"/>
    <n v="4771"/>
    <n v="57252"/>
    <s v="May"/>
    <s v="12"/>
    <x v="0"/>
    <n v="5"/>
    <x v="9"/>
  </r>
  <r>
    <n v="314"/>
    <s v="2025-10-30"/>
    <x v="0"/>
    <s v="Telefonía"/>
    <s v="Miguel Vargas"/>
    <x v="3"/>
    <x v="0"/>
    <n v="6"/>
    <n v="4094"/>
    <n v="24564"/>
    <s v="October"/>
    <s v="30"/>
    <x v="1"/>
    <n v="10"/>
    <x v="8"/>
  </r>
  <r>
    <n v="315"/>
    <s v="2025-09-25"/>
    <x v="6"/>
    <s v="Computadores"/>
    <s v="Laura Torres"/>
    <x v="3"/>
    <x v="1"/>
    <n v="12"/>
    <n v="718"/>
    <n v="8616"/>
    <s v="September"/>
    <s v="25"/>
    <x v="1"/>
    <n v="9"/>
    <x v="1"/>
  </r>
  <r>
    <n v="316"/>
    <s v="2024-07-08"/>
    <x v="1"/>
    <s v="Accesorios"/>
    <s v="Miguel Vargas"/>
    <x v="4"/>
    <x v="0"/>
    <n v="9"/>
    <n v="4365"/>
    <n v="39285"/>
    <s v="July"/>
    <s v="08"/>
    <x v="2"/>
    <n v="7"/>
    <x v="6"/>
  </r>
  <r>
    <n v="317"/>
    <s v="2023-05-07"/>
    <x v="9"/>
    <s v="Accesorios"/>
    <s v="Diana Morales"/>
    <x v="3"/>
    <x v="1"/>
    <n v="21"/>
    <n v="704"/>
    <n v="14784"/>
    <s v="May"/>
    <s v="07"/>
    <x v="0"/>
    <n v="5"/>
    <x v="9"/>
  </r>
  <r>
    <n v="318"/>
    <s v="2025-05-02"/>
    <x v="4"/>
    <s v="Accesorios"/>
    <s v="Diana Morales"/>
    <x v="1"/>
    <x v="0"/>
    <n v="7"/>
    <n v="1531"/>
    <n v="10717"/>
    <s v="May"/>
    <s v="02"/>
    <x v="1"/>
    <n v="5"/>
    <x v="5"/>
  </r>
  <r>
    <n v="319"/>
    <s v="2023-12-12"/>
    <x v="9"/>
    <s v="Accesorios"/>
    <s v="Sofía Rodríguez"/>
    <x v="1"/>
    <x v="1"/>
    <n v="20"/>
    <n v="1600"/>
    <n v="32000"/>
    <s v="December"/>
    <s v="12"/>
    <x v="0"/>
    <n v="12"/>
    <x v="2"/>
  </r>
  <r>
    <n v="320"/>
    <s v="2025-01-25"/>
    <x v="8"/>
    <s v="Accesorios"/>
    <s v="Diana Morales"/>
    <x v="4"/>
    <x v="0"/>
    <n v="9"/>
    <n v="4440"/>
    <n v="39960"/>
    <s v="January"/>
    <s v="25"/>
    <x v="1"/>
    <n v="1"/>
    <x v="3"/>
  </r>
  <r>
    <n v="321"/>
    <s v="2024-07-23"/>
    <x v="2"/>
    <s v="Periféricos"/>
    <s v="Pedro Ramírez"/>
    <x v="6"/>
    <x v="1"/>
    <n v="17"/>
    <n v="4143"/>
    <n v="70431"/>
    <s v="July"/>
    <s v="23"/>
    <x v="2"/>
    <n v="7"/>
    <x v="6"/>
  </r>
  <r>
    <n v="322"/>
    <s v="2024-02-10"/>
    <x v="3"/>
    <s v="Almacenamiento"/>
    <s v="Pedro Ramírez"/>
    <x v="3"/>
    <x v="0"/>
    <n v="5"/>
    <n v="2535"/>
    <n v="12675"/>
    <s v="February"/>
    <s v="10"/>
    <x v="2"/>
    <n v="2"/>
    <x v="7"/>
  </r>
  <r>
    <n v="323"/>
    <s v="2023-11-29"/>
    <x v="1"/>
    <s v="Accesorios"/>
    <s v="Carlos Gómez"/>
    <x v="4"/>
    <x v="0"/>
    <n v="6"/>
    <n v="329"/>
    <n v="1974"/>
    <s v="November"/>
    <s v="29"/>
    <x v="0"/>
    <n v="11"/>
    <x v="2"/>
  </r>
  <r>
    <n v="324"/>
    <s v="2023-10-01"/>
    <x v="6"/>
    <s v="Computadores"/>
    <s v="Luis Castillo"/>
    <x v="6"/>
    <x v="1"/>
    <n v="8"/>
    <n v="3217"/>
    <n v="25736"/>
    <s v="October"/>
    <s v="01"/>
    <x v="0"/>
    <n v="10"/>
    <x v="2"/>
  </r>
  <r>
    <n v="325"/>
    <s v="2024-01-01"/>
    <x v="0"/>
    <s v="Telefonía"/>
    <s v="Diana Morales"/>
    <x v="2"/>
    <x v="1"/>
    <n v="25"/>
    <n v="1962"/>
    <n v="49050"/>
    <s v="January"/>
    <s v="01"/>
    <x v="2"/>
    <n v="1"/>
    <x v="7"/>
  </r>
  <r>
    <n v="326"/>
    <s v="2024-11-13"/>
    <x v="2"/>
    <s v="Periféricos"/>
    <s v="Sofía Rodríguez"/>
    <x v="0"/>
    <x v="0"/>
    <n v="25"/>
    <n v="143"/>
    <n v="3575"/>
    <s v="November"/>
    <s v="13"/>
    <x v="2"/>
    <n v="11"/>
    <x v="10"/>
  </r>
  <r>
    <n v="327"/>
    <s v="2025-08-20"/>
    <x v="5"/>
    <s v="Computadores"/>
    <s v="Pedro Ramírez"/>
    <x v="3"/>
    <x v="1"/>
    <n v="5"/>
    <n v="325"/>
    <n v="1625"/>
    <s v="August"/>
    <s v="20"/>
    <x v="1"/>
    <n v="8"/>
    <x v="1"/>
  </r>
  <r>
    <n v="328"/>
    <s v="2025-01-13"/>
    <x v="8"/>
    <s v="Accesorios"/>
    <s v="Luis Castillo"/>
    <x v="1"/>
    <x v="0"/>
    <n v="14"/>
    <n v="4284"/>
    <n v="59976"/>
    <s v="January"/>
    <s v="13"/>
    <x v="1"/>
    <n v="1"/>
    <x v="3"/>
  </r>
  <r>
    <n v="329"/>
    <s v="2025-08-23"/>
    <x v="9"/>
    <s v="Accesorios"/>
    <s v="Pedro Ramírez"/>
    <x v="3"/>
    <x v="1"/>
    <n v="13"/>
    <n v="2847"/>
    <n v="37011"/>
    <s v="August"/>
    <s v="23"/>
    <x v="1"/>
    <n v="8"/>
    <x v="1"/>
  </r>
  <r>
    <n v="330"/>
    <s v="2024-04-19"/>
    <x v="4"/>
    <s v="Accesorios"/>
    <s v="María López"/>
    <x v="0"/>
    <x v="0"/>
    <n v="14"/>
    <n v="2524"/>
    <n v="35336"/>
    <s v="April"/>
    <s v="19"/>
    <x v="2"/>
    <n v="4"/>
    <x v="4"/>
  </r>
  <r>
    <n v="331"/>
    <s v="2025-09-08"/>
    <x v="4"/>
    <s v="Accesorios"/>
    <s v="Carlos Gómez"/>
    <x v="3"/>
    <x v="0"/>
    <n v="23"/>
    <n v="2196"/>
    <n v="50508"/>
    <s v="September"/>
    <s v="08"/>
    <x v="1"/>
    <n v="9"/>
    <x v="1"/>
  </r>
  <r>
    <n v="332"/>
    <s v="2023-08-04"/>
    <x v="5"/>
    <s v="Computadores"/>
    <s v="María López"/>
    <x v="5"/>
    <x v="1"/>
    <n v="25"/>
    <n v="4575"/>
    <n v="114375"/>
    <s v="August"/>
    <s v="04"/>
    <x v="0"/>
    <n v="8"/>
    <x v="0"/>
  </r>
  <r>
    <n v="333"/>
    <s v="2023-12-29"/>
    <x v="9"/>
    <s v="Accesorios"/>
    <s v="María López"/>
    <x v="5"/>
    <x v="1"/>
    <n v="17"/>
    <n v="402"/>
    <n v="6834"/>
    <s v="December"/>
    <s v="29"/>
    <x v="0"/>
    <n v="12"/>
    <x v="2"/>
  </r>
  <r>
    <n v="334"/>
    <s v="2025-09-11"/>
    <x v="8"/>
    <s v="Accesorios"/>
    <s v="Luis Castillo"/>
    <x v="6"/>
    <x v="0"/>
    <n v="17"/>
    <n v="1691"/>
    <n v="28747"/>
    <s v="September"/>
    <s v="11"/>
    <x v="1"/>
    <n v="9"/>
    <x v="1"/>
  </r>
  <r>
    <n v="335"/>
    <s v="2024-01-12"/>
    <x v="2"/>
    <s v="Periféricos"/>
    <s v="Luis Castillo"/>
    <x v="3"/>
    <x v="0"/>
    <n v="21"/>
    <n v="1103"/>
    <n v="23163"/>
    <s v="January"/>
    <s v="12"/>
    <x v="2"/>
    <n v="1"/>
    <x v="7"/>
  </r>
  <r>
    <n v="336"/>
    <s v="2024-10-20"/>
    <x v="7"/>
    <s v="Periféricos"/>
    <s v="Carlos Gómez"/>
    <x v="2"/>
    <x v="0"/>
    <n v="10"/>
    <n v="4272"/>
    <n v="42720"/>
    <s v="October"/>
    <s v="20"/>
    <x v="2"/>
    <n v="10"/>
    <x v="10"/>
  </r>
  <r>
    <n v="337"/>
    <s v="2023-10-14"/>
    <x v="6"/>
    <s v="Computadores"/>
    <s v="Sofía Rodríguez"/>
    <x v="3"/>
    <x v="1"/>
    <n v="10"/>
    <n v="426"/>
    <n v="4260"/>
    <s v="October"/>
    <s v="14"/>
    <x v="0"/>
    <n v="10"/>
    <x v="2"/>
  </r>
  <r>
    <n v="338"/>
    <s v="2024-05-26"/>
    <x v="5"/>
    <s v="Computadores"/>
    <s v="Luis Castillo"/>
    <x v="5"/>
    <x v="1"/>
    <n v="5"/>
    <n v="985"/>
    <n v="4925"/>
    <s v="May"/>
    <s v="26"/>
    <x v="2"/>
    <n v="5"/>
    <x v="4"/>
  </r>
  <r>
    <n v="339"/>
    <s v="2024-04-14"/>
    <x v="3"/>
    <s v="Almacenamiento"/>
    <s v="María López"/>
    <x v="2"/>
    <x v="1"/>
    <n v="18"/>
    <n v="359"/>
    <n v="6462"/>
    <s v="April"/>
    <s v="14"/>
    <x v="2"/>
    <n v="4"/>
    <x v="4"/>
  </r>
  <r>
    <n v="340"/>
    <s v="2023-12-25"/>
    <x v="0"/>
    <s v="Telefonía"/>
    <s v="Carlos Gómez"/>
    <x v="2"/>
    <x v="1"/>
    <n v="20"/>
    <n v="1903"/>
    <n v="38060"/>
    <s v="December"/>
    <s v="25"/>
    <x v="0"/>
    <n v="12"/>
    <x v="2"/>
  </r>
  <r>
    <n v="341"/>
    <s v="2023-10-07"/>
    <x v="5"/>
    <s v="Computadores"/>
    <s v="Pedro Ramírez"/>
    <x v="0"/>
    <x v="1"/>
    <n v="20"/>
    <n v="4281"/>
    <n v="85620"/>
    <s v="October"/>
    <s v="07"/>
    <x v="0"/>
    <n v="10"/>
    <x v="2"/>
  </r>
  <r>
    <n v="342"/>
    <s v="2025-01-11"/>
    <x v="0"/>
    <s v="Telefonía"/>
    <s v="Miguel Vargas"/>
    <x v="3"/>
    <x v="1"/>
    <n v="19"/>
    <n v="4545"/>
    <n v="86355"/>
    <s v="January"/>
    <s v="11"/>
    <x v="1"/>
    <n v="1"/>
    <x v="3"/>
  </r>
  <r>
    <n v="343"/>
    <s v="2025-01-29"/>
    <x v="0"/>
    <s v="Telefonía"/>
    <s v="Luis Castillo"/>
    <x v="6"/>
    <x v="0"/>
    <n v="4"/>
    <n v="691"/>
    <n v="2764"/>
    <s v="January"/>
    <s v="29"/>
    <x v="1"/>
    <n v="1"/>
    <x v="3"/>
  </r>
  <r>
    <n v="344"/>
    <s v="2023-09-04"/>
    <x v="3"/>
    <s v="Almacenamiento"/>
    <s v="Diana Morales"/>
    <x v="1"/>
    <x v="1"/>
    <n v="9"/>
    <n v="3041"/>
    <n v="27369"/>
    <s v="September"/>
    <s v="04"/>
    <x v="0"/>
    <n v="9"/>
    <x v="0"/>
  </r>
  <r>
    <n v="345"/>
    <s v="2023-10-25"/>
    <x v="7"/>
    <s v="Periféricos"/>
    <s v="Pedro Ramírez"/>
    <x v="5"/>
    <x v="1"/>
    <n v="20"/>
    <n v="315"/>
    <n v="6300"/>
    <s v="October"/>
    <s v="25"/>
    <x v="0"/>
    <n v="10"/>
    <x v="2"/>
  </r>
  <r>
    <n v="346"/>
    <s v="2025-05-15"/>
    <x v="8"/>
    <s v="Accesorios"/>
    <s v="Ana Pérez"/>
    <x v="0"/>
    <x v="1"/>
    <n v="20"/>
    <n v="776"/>
    <n v="15520"/>
    <s v="May"/>
    <s v="15"/>
    <x v="1"/>
    <n v="5"/>
    <x v="5"/>
  </r>
  <r>
    <n v="347"/>
    <s v="2023-04-24"/>
    <x v="4"/>
    <s v="Accesorios"/>
    <s v="María López"/>
    <x v="5"/>
    <x v="1"/>
    <n v="22"/>
    <n v="1318"/>
    <n v="28996"/>
    <s v="April"/>
    <s v="24"/>
    <x v="0"/>
    <n v="4"/>
    <x v="9"/>
  </r>
  <r>
    <n v="348"/>
    <s v="2024-12-13"/>
    <x v="5"/>
    <s v="Computadores"/>
    <s v="Miguel Vargas"/>
    <x v="0"/>
    <x v="1"/>
    <n v="4"/>
    <n v="1042"/>
    <n v="4168"/>
    <s v="December"/>
    <s v="13"/>
    <x v="2"/>
    <n v="12"/>
    <x v="10"/>
  </r>
  <r>
    <n v="349"/>
    <s v="2025-08-23"/>
    <x v="7"/>
    <s v="Periféricos"/>
    <s v="Laura Torres"/>
    <x v="6"/>
    <x v="1"/>
    <n v="10"/>
    <n v="2670"/>
    <n v="26700"/>
    <s v="August"/>
    <s v="23"/>
    <x v="1"/>
    <n v="8"/>
    <x v="1"/>
  </r>
  <r>
    <n v="350"/>
    <s v="2024-08-16"/>
    <x v="3"/>
    <s v="Almacenamiento"/>
    <s v="Juan Hernández"/>
    <x v="3"/>
    <x v="1"/>
    <n v="12"/>
    <n v="2576"/>
    <n v="30912"/>
    <s v="August"/>
    <s v="16"/>
    <x v="2"/>
    <n v="8"/>
    <x v="6"/>
  </r>
  <r>
    <n v="351"/>
    <s v="2024-12-21"/>
    <x v="1"/>
    <s v="Accesorios"/>
    <s v="Luis Castillo"/>
    <x v="6"/>
    <x v="1"/>
    <n v="9"/>
    <n v="3170"/>
    <n v="28530"/>
    <s v="December"/>
    <s v="21"/>
    <x v="2"/>
    <n v="12"/>
    <x v="10"/>
  </r>
  <r>
    <n v="352"/>
    <s v="2025-12-12"/>
    <x v="7"/>
    <s v="Periféricos"/>
    <s v="Ana Pérez"/>
    <x v="5"/>
    <x v="1"/>
    <n v="23"/>
    <n v="207"/>
    <n v="4761"/>
    <s v="December"/>
    <s v="12"/>
    <x v="1"/>
    <n v="12"/>
    <x v="8"/>
  </r>
  <r>
    <n v="353"/>
    <s v="2023-05-03"/>
    <x v="5"/>
    <s v="Computadores"/>
    <s v="Sofía Rodríguez"/>
    <x v="2"/>
    <x v="1"/>
    <n v="24"/>
    <n v="620"/>
    <n v="14880"/>
    <s v="May"/>
    <s v="03"/>
    <x v="0"/>
    <n v="5"/>
    <x v="9"/>
  </r>
  <r>
    <n v="354"/>
    <s v="2024-10-02"/>
    <x v="2"/>
    <s v="Periféricos"/>
    <s v="Miguel Vargas"/>
    <x v="1"/>
    <x v="0"/>
    <n v="14"/>
    <n v="1342"/>
    <n v="18788"/>
    <s v="October"/>
    <s v="02"/>
    <x v="2"/>
    <n v="10"/>
    <x v="10"/>
  </r>
  <r>
    <n v="355"/>
    <s v="2024-06-24"/>
    <x v="1"/>
    <s v="Accesorios"/>
    <s v="Laura Torres"/>
    <x v="6"/>
    <x v="0"/>
    <n v="22"/>
    <n v="2981"/>
    <n v="65582"/>
    <s v="June"/>
    <s v="24"/>
    <x v="2"/>
    <n v="6"/>
    <x v="4"/>
  </r>
  <r>
    <n v="356"/>
    <s v="2023-12-13"/>
    <x v="5"/>
    <s v="Computadores"/>
    <s v="Carlos Gómez"/>
    <x v="1"/>
    <x v="1"/>
    <n v="17"/>
    <n v="1041"/>
    <n v="17697"/>
    <s v="December"/>
    <s v="13"/>
    <x v="0"/>
    <n v="12"/>
    <x v="2"/>
  </r>
  <r>
    <n v="357"/>
    <s v="2023-11-04"/>
    <x v="9"/>
    <s v="Accesorios"/>
    <s v="Pedro Ramírez"/>
    <x v="3"/>
    <x v="0"/>
    <n v="18"/>
    <n v="3973"/>
    <n v="71514"/>
    <s v="November"/>
    <s v="04"/>
    <x v="0"/>
    <n v="11"/>
    <x v="2"/>
  </r>
  <r>
    <n v="358"/>
    <s v="2023-03-17"/>
    <x v="1"/>
    <s v="Accesorios"/>
    <s v="Sofía Rodríguez"/>
    <x v="5"/>
    <x v="1"/>
    <n v="10"/>
    <n v="4854"/>
    <n v="48540"/>
    <s v="March"/>
    <s v="17"/>
    <x v="0"/>
    <n v="3"/>
    <x v="11"/>
  </r>
  <r>
    <n v="359"/>
    <s v="2025-11-29"/>
    <x v="4"/>
    <s v="Accesorios"/>
    <s v="Laura Torres"/>
    <x v="2"/>
    <x v="0"/>
    <n v="16"/>
    <n v="4398"/>
    <n v="70368"/>
    <s v="November"/>
    <s v="29"/>
    <x v="1"/>
    <n v="11"/>
    <x v="8"/>
  </r>
  <r>
    <n v="360"/>
    <s v="2025-09-09"/>
    <x v="2"/>
    <s v="Periféricos"/>
    <s v="Carlos Gómez"/>
    <x v="0"/>
    <x v="0"/>
    <n v="9"/>
    <n v="1093"/>
    <n v="9837"/>
    <s v="September"/>
    <s v="09"/>
    <x v="1"/>
    <n v="9"/>
    <x v="1"/>
  </r>
  <r>
    <n v="361"/>
    <s v="2025-05-10"/>
    <x v="9"/>
    <s v="Accesorios"/>
    <s v="Luis Castillo"/>
    <x v="5"/>
    <x v="0"/>
    <n v="25"/>
    <n v="255"/>
    <n v="6375"/>
    <s v="May"/>
    <s v="10"/>
    <x v="1"/>
    <n v="5"/>
    <x v="5"/>
  </r>
  <r>
    <n v="362"/>
    <s v="2025-06-08"/>
    <x v="1"/>
    <s v="Accesorios"/>
    <s v="Diana Morales"/>
    <x v="2"/>
    <x v="1"/>
    <n v="22"/>
    <n v="623"/>
    <n v="13706"/>
    <s v="June"/>
    <s v="08"/>
    <x v="1"/>
    <n v="6"/>
    <x v="5"/>
  </r>
  <r>
    <n v="363"/>
    <s v="2023-01-07"/>
    <x v="1"/>
    <s v="Accesorios"/>
    <s v="Luis Castillo"/>
    <x v="5"/>
    <x v="1"/>
    <n v="1"/>
    <n v="3179"/>
    <n v="3179"/>
    <s v="January"/>
    <s v="07"/>
    <x v="0"/>
    <n v="1"/>
    <x v="11"/>
  </r>
  <r>
    <n v="364"/>
    <s v="2023-10-01"/>
    <x v="0"/>
    <s v="Telefonía"/>
    <s v="Juan Hernández"/>
    <x v="2"/>
    <x v="1"/>
    <n v="21"/>
    <n v="3400"/>
    <n v="71400"/>
    <s v="October"/>
    <s v="01"/>
    <x v="0"/>
    <n v="10"/>
    <x v="2"/>
  </r>
  <r>
    <n v="365"/>
    <s v="2023-09-09"/>
    <x v="2"/>
    <s v="Periféricos"/>
    <s v="Miguel Vargas"/>
    <x v="0"/>
    <x v="1"/>
    <n v="20"/>
    <n v="258"/>
    <n v="5160"/>
    <s v="September"/>
    <s v="09"/>
    <x v="0"/>
    <n v="9"/>
    <x v="0"/>
  </r>
  <r>
    <n v="366"/>
    <s v="2025-10-01"/>
    <x v="4"/>
    <s v="Accesorios"/>
    <s v="Juan Hernández"/>
    <x v="4"/>
    <x v="1"/>
    <n v="8"/>
    <n v="4605"/>
    <n v="36840"/>
    <s v="October"/>
    <s v="01"/>
    <x v="1"/>
    <n v="10"/>
    <x v="8"/>
  </r>
  <r>
    <n v="367"/>
    <s v="2025-04-30"/>
    <x v="6"/>
    <s v="Computadores"/>
    <s v="Diana Morales"/>
    <x v="5"/>
    <x v="1"/>
    <n v="22"/>
    <n v="1000"/>
    <n v="22000"/>
    <s v="April"/>
    <s v="30"/>
    <x v="1"/>
    <n v="4"/>
    <x v="5"/>
  </r>
  <r>
    <n v="368"/>
    <s v="2025-01-23"/>
    <x v="7"/>
    <s v="Periféricos"/>
    <s v="Luis Castillo"/>
    <x v="4"/>
    <x v="1"/>
    <n v="9"/>
    <n v="672"/>
    <n v="6048"/>
    <s v="January"/>
    <s v="23"/>
    <x v="1"/>
    <n v="1"/>
    <x v="3"/>
  </r>
  <r>
    <n v="369"/>
    <s v="2024-10-09"/>
    <x v="4"/>
    <s v="Accesorios"/>
    <s v="Diana Morales"/>
    <x v="1"/>
    <x v="0"/>
    <n v="12"/>
    <n v="3322"/>
    <n v="39864"/>
    <s v="October"/>
    <s v="09"/>
    <x v="2"/>
    <n v="10"/>
    <x v="10"/>
  </r>
  <r>
    <n v="370"/>
    <s v="2025-04-15"/>
    <x v="0"/>
    <s v="Telefonía"/>
    <s v="María López"/>
    <x v="6"/>
    <x v="0"/>
    <n v="20"/>
    <n v="2598"/>
    <n v="51960"/>
    <s v="April"/>
    <s v="15"/>
    <x v="1"/>
    <n v="4"/>
    <x v="5"/>
  </r>
  <r>
    <n v="371"/>
    <s v="2024-05-21"/>
    <x v="8"/>
    <s v="Accesorios"/>
    <s v="Ana Pérez"/>
    <x v="1"/>
    <x v="1"/>
    <n v="1"/>
    <n v="2969"/>
    <n v="2969"/>
    <s v="May"/>
    <s v="21"/>
    <x v="2"/>
    <n v="5"/>
    <x v="4"/>
  </r>
  <r>
    <n v="372"/>
    <s v="2023-11-09"/>
    <x v="2"/>
    <s v="Periféricos"/>
    <s v="María López"/>
    <x v="2"/>
    <x v="1"/>
    <n v="24"/>
    <n v="4316"/>
    <n v="103584"/>
    <s v="November"/>
    <s v="09"/>
    <x v="0"/>
    <n v="11"/>
    <x v="2"/>
  </r>
  <r>
    <n v="373"/>
    <s v="2024-11-14"/>
    <x v="1"/>
    <s v="Accesorios"/>
    <s v="Ana Pérez"/>
    <x v="2"/>
    <x v="1"/>
    <n v="12"/>
    <n v="3900"/>
    <n v="46800"/>
    <s v="November"/>
    <s v="14"/>
    <x v="2"/>
    <n v="11"/>
    <x v="10"/>
  </r>
  <r>
    <n v="374"/>
    <s v="2023-08-08"/>
    <x v="2"/>
    <s v="Periféricos"/>
    <s v="Laura Torres"/>
    <x v="1"/>
    <x v="0"/>
    <n v="10"/>
    <n v="1709"/>
    <n v="17090"/>
    <s v="August"/>
    <s v="08"/>
    <x v="0"/>
    <n v="8"/>
    <x v="0"/>
  </r>
  <r>
    <n v="375"/>
    <s v="2023-05-31"/>
    <x v="4"/>
    <s v="Accesorios"/>
    <s v="Miguel Vargas"/>
    <x v="3"/>
    <x v="1"/>
    <n v="9"/>
    <n v="2080"/>
    <n v="18720"/>
    <s v="May"/>
    <s v="31"/>
    <x v="0"/>
    <n v="5"/>
    <x v="9"/>
  </r>
  <r>
    <n v="376"/>
    <s v="2023-09-06"/>
    <x v="0"/>
    <s v="Telefonía"/>
    <s v="Pedro Ramírez"/>
    <x v="5"/>
    <x v="0"/>
    <n v="20"/>
    <n v="2622"/>
    <n v="52440"/>
    <s v="September"/>
    <s v="06"/>
    <x v="0"/>
    <n v="9"/>
    <x v="0"/>
  </r>
  <r>
    <n v="377"/>
    <s v="2025-02-23"/>
    <x v="4"/>
    <s v="Accesorios"/>
    <s v="Sofía Rodríguez"/>
    <x v="4"/>
    <x v="0"/>
    <n v="11"/>
    <n v="2060"/>
    <n v="22660"/>
    <s v="February"/>
    <s v="23"/>
    <x v="1"/>
    <n v="2"/>
    <x v="3"/>
  </r>
  <r>
    <n v="378"/>
    <s v="2024-09-10"/>
    <x v="8"/>
    <s v="Accesorios"/>
    <s v="Juan Hernández"/>
    <x v="3"/>
    <x v="0"/>
    <n v="21"/>
    <n v="2968"/>
    <n v="62328"/>
    <s v="September"/>
    <s v="10"/>
    <x v="2"/>
    <n v="9"/>
    <x v="6"/>
  </r>
  <r>
    <n v="379"/>
    <s v="2024-10-27"/>
    <x v="4"/>
    <s v="Accesorios"/>
    <s v="María López"/>
    <x v="5"/>
    <x v="1"/>
    <n v="11"/>
    <n v="117"/>
    <n v="1287"/>
    <s v="October"/>
    <s v="27"/>
    <x v="2"/>
    <n v="10"/>
    <x v="10"/>
  </r>
  <r>
    <n v="380"/>
    <s v="2023-08-11"/>
    <x v="7"/>
    <s v="Periféricos"/>
    <s v="Carlos Gómez"/>
    <x v="0"/>
    <x v="0"/>
    <n v="9"/>
    <n v="1049"/>
    <n v="9441"/>
    <s v="August"/>
    <s v="11"/>
    <x v="0"/>
    <n v="8"/>
    <x v="0"/>
  </r>
  <r>
    <n v="381"/>
    <s v="2023-01-03"/>
    <x v="1"/>
    <s v="Accesorios"/>
    <s v="Sofía Rodríguez"/>
    <x v="2"/>
    <x v="1"/>
    <n v="3"/>
    <n v="3756"/>
    <n v="11268"/>
    <s v="January"/>
    <s v="03"/>
    <x v="0"/>
    <n v="1"/>
    <x v="11"/>
  </r>
  <r>
    <n v="382"/>
    <s v="2023-03-10"/>
    <x v="0"/>
    <s v="Telefonía"/>
    <s v="Sofía Rodríguez"/>
    <x v="4"/>
    <x v="0"/>
    <n v="20"/>
    <n v="3069"/>
    <n v="61380"/>
    <s v="March"/>
    <s v="10"/>
    <x v="0"/>
    <n v="3"/>
    <x v="11"/>
  </r>
  <r>
    <n v="383"/>
    <s v="2025-07-13"/>
    <x v="0"/>
    <s v="Telefonía"/>
    <s v="Miguel Vargas"/>
    <x v="4"/>
    <x v="1"/>
    <n v="24"/>
    <n v="2394"/>
    <n v="57456"/>
    <s v="July"/>
    <s v="13"/>
    <x v="1"/>
    <n v="7"/>
    <x v="1"/>
  </r>
  <r>
    <n v="384"/>
    <s v="2024-06-19"/>
    <x v="5"/>
    <s v="Computadores"/>
    <s v="Miguel Vargas"/>
    <x v="4"/>
    <x v="1"/>
    <n v="3"/>
    <n v="4124"/>
    <n v="12372"/>
    <s v="June"/>
    <s v="19"/>
    <x v="2"/>
    <n v="6"/>
    <x v="4"/>
  </r>
  <r>
    <n v="385"/>
    <s v="2023-06-25"/>
    <x v="9"/>
    <s v="Accesorios"/>
    <s v="Carlos Gómez"/>
    <x v="6"/>
    <x v="0"/>
    <n v="20"/>
    <n v="3536"/>
    <n v="70720"/>
    <s v="June"/>
    <s v="25"/>
    <x v="0"/>
    <n v="6"/>
    <x v="9"/>
  </r>
  <r>
    <n v="386"/>
    <s v="2023-05-03"/>
    <x v="1"/>
    <s v="Accesorios"/>
    <s v="Ana Pérez"/>
    <x v="4"/>
    <x v="1"/>
    <n v="19"/>
    <n v="4813"/>
    <n v="91447"/>
    <s v="May"/>
    <s v="03"/>
    <x v="0"/>
    <n v="5"/>
    <x v="9"/>
  </r>
  <r>
    <n v="387"/>
    <s v="2023-11-03"/>
    <x v="3"/>
    <s v="Almacenamiento"/>
    <s v="Laura Torres"/>
    <x v="1"/>
    <x v="0"/>
    <n v="10"/>
    <n v="440"/>
    <n v="4400"/>
    <s v="November"/>
    <s v="03"/>
    <x v="0"/>
    <n v="11"/>
    <x v="2"/>
  </r>
  <r>
    <n v="388"/>
    <s v="2023-08-21"/>
    <x v="0"/>
    <s v="Telefonía"/>
    <s v="Miguel Vargas"/>
    <x v="3"/>
    <x v="0"/>
    <n v="4"/>
    <n v="1324"/>
    <n v="5296"/>
    <s v="August"/>
    <s v="21"/>
    <x v="0"/>
    <n v="8"/>
    <x v="0"/>
  </r>
  <r>
    <n v="389"/>
    <s v="2023-09-20"/>
    <x v="2"/>
    <s v="Periféricos"/>
    <s v="Sofía Rodríguez"/>
    <x v="5"/>
    <x v="1"/>
    <n v="9"/>
    <n v="3692"/>
    <n v="33228"/>
    <s v="September"/>
    <s v="20"/>
    <x v="0"/>
    <n v="9"/>
    <x v="0"/>
  </r>
  <r>
    <n v="390"/>
    <s v="2023-10-20"/>
    <x v="9"/>
    <s v="Accesorios"/>
    <s v="María López"/>
    <x v="0"/>
    <x v="0"/>
    <n v="2"/>
    <n v="2070"/>
    <n v="4140"/>
    <s v="October"/>
    <s v="20"/>
    <x v="0"/>
    <n v="10"/>
    <x v="2"/>
  </r>
  <r>
    <n v="391"/>
    <s v="2024-03-22"/>
    <x v="6"/>
    <s v="Computadores"/>
    <s v="Ana Pérez"/>
    <x v="4"/>
    <x v="1"/>
    <n v="16"/>
    <n v="1469"/>
    <n v="23504"/>
    <s v="March"/>
    <s v="22"/>
    <x v="2"/>
    <n v="3"/>
    <x v="7"/>
  </r>
  <r>
    <n v="392"/>
    <s v="2024-04-10"/>
    <x v="9"/>
    <s v="Accesorios"/>
    <s v="Luis Castillo"/>
    <x v="3"/>
    <x v="0"/>
    <n v="18"/>
    <n v="1731"/>
    <n v="31158"/>
    <s v="April"/>
    <s v="10"/>
    <x v="2"/>
    <n v="4"/>
    <x v="4"/>
  </r>
  <r>
    <n v="393"/>
    <s v="2025-04-24"/>
    <x v="2"/>
    <s v="Periféricos"/>
    <s v="Diana Morales"/>
    <x v="6"/>
    <x v="0"/>
    <n v="22"/>
    <n v="1171"/>
    <n v="25762"/>
    <s v="April"/>
    <s v="24"/>
    <x v="1"/>
    <n v="4"/>
    <x v="5"/>
  </r>
  <r>
    <n v="394"/>
    <s v="2023-06-18"/>
    <x v="6"/>
    <s v="Computadores"/>
    <s v="Ana Pérez"/>
    <x v="1"/>
    <x v="1"/>
    <n v="9"/>
    <n v="792"/>
    <n v="7128"/>
    <s v="June"/>
    <s v="18"/>
    <x v="0"/>
    <n v="6"/>
    <x v="9"/>
  </r>
  <r>
    <n v="395"/>
    <s v="2023-02-23"/>
    <x v="2"/>
    <s v="Periféricos"/>
    <s v="Miguel Vargas"/>
    <x v="0"/>
    <x v="1"/>
    <n v="3"/>
    <n v="1283"/>
    <n v="3849"/>
    <s v="February"/>
    <s v="23"/>
    <x v="0"/>
    <n v="2"/>
    <x v="11"/>
  </r>
  <r>
    <n v="396"/>
    <s v="2024-02-21"/>
    <x v="1"/>
    <s v="Accesorios"/>
    <s v="Juan Hernández"/>
    <x v="4"/>
    <x v="0"/>
    <n v="20"/>
    <n v="3869"/>
    <n v="77380"/>
    <s v="February"/>
    <s v="21"/>
    <x v="2"/>
    <n v="2"/>
    <x v="7"/>
  </r>
  <r>
    <n v="397"/>
    <s v="2025-03-11"/>
    <x v="5"/>
    <s v="Computadores"/>
    <s v="Miguel Vargas"/>
    <x v="6"/>
    <x v="0"/>
    <n v="14"/>
    <n v="4435"/>
    <n v="62090"/>
    <s v="March"/>
    <s v="11"/>
    <x v="1"/>
    <n v="3"/>
    <x v="3"/>
  </r>
  <r>
    <n v="398"/>
    <s v="2025-07-27"/>
    <x v="1"/>
    <s v="Accesorios"/>
    <s v="Luis Castillo"/>
    <x v="5"/>
    <x v="1"/>
    <n v="18"/>
    <n v="3388"/>
    <n v="60984"/>
    <s v="July"/>
    <s v="27"/>
    <x v="1"/>
    <n v="7"/>
    <x v="1"/>
  </r>
  <r>
    <n v="399"/>
    <s v="2023-04-26"/>
    <x v="5"/>
    <s v="Computadores"/>
    <s v="Luis Castillo"/>
    <x v="3"/>
    <x v="1"/>
    <n v="16"/>
    <n v="187"/>
    <n v="2992"/>
    <s v="April"/>
    <s v="26"/>
    <x v="0"/>
    <n v="4"/>
    <x v="9"/>
  </r>
  <r>
    <n v="400"/>
    <s v="2024-05-27"/>
    <x v="9"/>
    <s v="Accesorios"/>
    <s v="María López"/>
    <x v="6"/>
    <x v="0"/>
    <n v="2"/>
    <n v="1298"/>
    <n v="2596"/>
    <s v="May"/>
    <s v="27"/>
    <x v="2"/>
    <n v="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A54D0-DE55-4553-82FC-72F847AD1FD9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C44:D57" firstHeaderRow="1" firstDataRow="1" firstDataCol="1"/>
  <pivotFields count="15">
    <pivotField numFmtId="165" showAll="0"/>
    <pivotField showAll="0"/>
    <pivotField showAll="0"/>
    <pivotField showAll="0"/>
    <pivotField showAll="0"/>
    <pivotField showAll="0">
      <items count="8">
        <item x="3"/>
        <item x="4"/>
        <item x="2"/>
        <item x="0"/>
        <item x="1"/>
        <item x="6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13">
        <item x="11"/>
        <item x="7"/>
        <item x="3"/>
        <item x="9"/>
        <item x="4"/>
        <item x="5"/>
        <item x="0"/>
        <item x="6"/>
        <item x="1"/>
        <item x="2"/>
        <item x="10"/>
        <item x="8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Total Venta" fld="9" baseField="0" baseItem="0" numFmtId="167"/>
  </dataFields>
  <formats count="1">
    <format dxfId="24">
      <pivotArea outline="0" collapsedLevelsAreSubtotals="1" fieldPosition="0"/>
    </format>
  </format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2EEB5-C080-47CB-8BED-97C582DAF016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J4:K12" firstHeaderRow="1" firstDataRow="1" firstDataCol="1"/>
  <pivotFields count="15">
    <pivotField numFmtId="165" showAll="0"/>
    <pivotField showAll="0"/>
    <pivotField showAll="0"/>
    <pivotField showAll="0"/>
    <pivotField showAll="0"/>
    <pivotField axis="axisRow" showAll="0">
      <items count="8">
        <item x="3"/>
        <item x="4"/>
        <item x="2"/>
        <item x="0"/>
        <item x="1"/>
        <item x="6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Total Venta" fld="9" baseField="0" baseItem="0" numFmtId="167"/>
  </dataFields>
  <formats count="1">
    <format dxfId="25">
      <pivotArea outline="0" collapsedLevelsAreSubtotals="1" fieldPosition="0"/>
    </format>
  </formats>
  <chartFormats count="8"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7E863-0191-48A6-A5F9-F0C11D7AFB3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E4:F10" firstHeaderRow="1" firstDataRow="1" firstDataCol="1"/>
  <pivotFields count="15">
    <pivotField dataField="1" numFmtId="165" showAll="0"/>
    <pivotField showAll="0"/>
    <pivotField axis="axisRow" showAll="0" measureFilter="1" sortType="ascending">
      <items count="11">
        <item x="8"/>
        <item x="0"/>
        <item x="3"/>
        <item x="2"/>
        <item x="5"/>
        <item x="1"/>
        <item x="7"/>
        <item x="4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3"/>
        <item x="4"/>
        <item x="2"/>
        <item x="0"/>
        <item x="1"/>
        <item x="6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2"/>
  </rowFields>
  <rowItems count="6">
    <i>
      <x v="4"/>
    </i>
    <i>
      <x v="5"/>
    </i>
    <i>
      <x v="7"/>
    </i>
    <i>
      <x v="3"/>
    </i>
    <i>
      <x v="1"/>
    </i>
    <i t="grand">
      <x/>
    </i>
  </rowItems>
  <colItems count="1">
    <i/>
  </colItems>
  <dataFields count="1">
    <dataField name="Cuenta de ID Venta" fld="0" subtotal="count" baseField="0" baseItem="0"/>
  </dataFields>
  <formats count="4">
    <format dxfId="29">
      <pivotArea grandRow="1" outline="0" collapsedLevelsAreSubtotals="1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  <format dxfId="26">
      <pivotArea collapsedLevelsAreSubtotals="1" fieldPosition="0">
        <references count="1">
          <reference field="2" count="5">
            <x v="1"/>
            <x v="3"/>
            <x v="4"/>
            <x v="5"/>
            <x v="7"/>
          </reference>
        </references>
      </pivotArea>
    </format>
  </formats>
  <chartFormats count="2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4E19F-CCEB-4F77-8C5D-32E991B6997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4:C8" firstHeaderRow="1" firstDataRow="1" firstDataCol="1"/>
  <pivotFields count="15">
    <pivotField numFmtId="165" showAll="0"/>
    <pivotField showAll="0"/>
    <pivotField showAll="0"/>
    <pivotField showAll="0"/>
    <pivotField showAll="0"/>
    <pivotField showAll="0">
      <items count="8">
        <item x="3"/>
        <item x="4"/>
        <item x="2"/>
        <item x="0"/>
        <item x="1"/>
        <item x="6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Venta" fld="9" baseField="0" baseItem="0" numFmtId="167"/>
  </dataFields>
  <formats count="3">
    <format dxfId="32">
      <pivotArea grandRow="1" outline="0" collapsedLevelsAreSubtotals="1" fieldPosition="0"/>
    </format>
    <format dxfId="31">
      <pivotArea dataOnly="0" labelOnly="1" outline="0" axis="axisValues" fieldPosition="0"/>
    </format>
    <format dxfId="30">
      <pivotArea outline="0" collapsedLevelsAreSubtotals="1" fieldPosition="0"/>
    </format>
  </format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5B55D-A5D3-47E5-800F-5AE55B8606B2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E20:F31" firstHeaderRow="1" firstDataRow="1" firstDataCol="1"/>
  <pivotFields count="15">
    <pivotField dataField="1" numFmtId="165" showAll="0"/>
    <pivotField showAll="0"/>
    <pivotField axis="axisRow" showAll="0" measureFilter="1" sortType="ascending">
      <items count="11">
        <item x="8"/>
        <item x="0"/>
        <item x="3"/>
        <item x="2"/>
        <item x="5"/>
        <item x="1"/>
        <item x="7"/>
        <item x="4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8">
        <item x="3"/>
        <item x="4"/>
        <item x="2"/>
        <item x="0"/>
        <item x="1"/>
        <item x="6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2"/>
  </rowFields>
  <rowItems count="11">
    <i>
      <x/>
    </i>
    <i>
      <x v="8"/>
    </i>
    <i>
      <x v="6"/>
    </i>
    <i>
      <x v="9"/>
    </i>
    <i>
      <x v="2"/>
    </i>
    <i>
      <x v="4"/>
    </i>
    <i>
      <x v="5"/>
    </i>
    <i>
      <x v="7"/>
    </i>
    <i>
      <x v="3"/>
    </i>
    <i>
      <x v="1"/>
    </i>
    <i t="grand">
      <x/>
    </i>
  </rowItems>
  <colItems count="1">
    <i/>
  </colItems>
  <dataFields count="1">
    <dataField name="Cuenta de ID Venta" fld="0" subtotal="count" baseField="0" baseItem="0"/>
  </dataFields>
  <formats count="3">
    <format dxfId="35">
      <pivotArea grandRow="1" outline="0" collapsedLevelsAreSubtotals="1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</formats>
  <chartFormats count="1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idad" xr10:uid="{43C26E1C-1A4B-418F-9E1D-A9D0FC78E699}" sourceName="Localidad">
  <pivotTables>
    <pivotTable tabId="2" name="TablaDinámica2"/>
    <pivotTable tabId="2" name="TablaDinámica3"/>
    <pivotTable tabId="2" name="TablaDinámica5"/>
    <pivotTable tabId="2" name="TablaDinámica6"/>
    <pivotTable tabId="2" name="TablaDinámica9"/>
  </pivotTables>
  <data>
    <tabular pivotCacheId="1432692728">
      <items count="7">
        <i x="3" s="1"/>
        <i x="4" s="1"/>
        <i x="2" s="1"/>
        <i x="0" s="1"/>
        <i x="1" s="1"/>
        <i x="6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63B8D541-E605-4DFC-8517-73555D2DBC48}" sourceName="Canal">
  <pivotTables>
    <pivotTable tabId="2" name="TablaDinámica2"/>
    <pivotTable tabId="2" name="TablaDinámica3"/>
    <pivotTable tabId="2" name="TablaDinámica5"/>
    <pivotTable tabId="2" name="TablaDinámica6"/>
    <pivotTable tabId="2" name="TablaDinámica9"/>
  </pivotTables>
  <data>
    <tabular pivotCacheId="1432692728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203D0CC9-4589-4DEC-BF62-425EBBA9FFFD}" sourceName="Año">
  <pivotTables>
    <pivotTable tabId="2" name="TablaDinámica2"/>
    <pivotTable tabId="2" name="TablaDinámica3"/>
    <pivotTable tabId="2" name="TablaDinámica5"/>
    <pivotTable tabId="2" name="TablaDinámica6"/>
    <pivotTable tabId="2" name="TablaDinámica9"/>
  </pivotTables>
  <data>
    <tabular pivotCacheId="1432692728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lidad 1" xr10:uid="{3E30BD1A-826F-4663-A2F5-A6E64A84A0EA}" cache="SegmentaciónDeDatos_Localidad" caption="Localidad" style="Estilo de segmentación de datos 2" rowHeight="241300"/>
  <slicer name="Canal 1" xr10:uid="{E264B067-7657-4FD0-BCC1-DC667134E19E}" cache="SegmentaciónDeDatos_Canal" caption="Canal" style="Estilo de segmentación de datos 2" rowHeight="241300"/>
  <slicer name="Año 1" xr10:uid="{6FBEF836-76DF-4FBF-8468-324D61BF5E69}" cache="SegmentaciónDeDatos_Año" caption="Año" style="Estilo de segmentación de dat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F13DC-684A-475A-81C4-FF5A666DCBD9}" name="Tabla1" displayName="Tabla1" ref="A1:O401" totalsRowShown="0" headerRowDxfId="45" headerRowBorderDxfId="44" tableBorderDxfId="43">
  <tableColumns count="15">
    <tableColumn id="20" xr3:uid="{2AEC5017-3039-4297-AD15-1C5B27AB6979}" name="ID Venta" dataDxfId="42"/>
    <tableColumn id="1" xr3:uid="{63E5B2A6-2D00-42C7-80B8-EAFCAC080E24}" name="Fecha"/>
    <tableColumn id="2" xr3:uid="{D3BA8999-85D6-43F4-B4B2-154F5678572F}" name="Producto"/>
    <tableColumn id="3" xr3:uid="{2EDE9806-1CD9-41F5-AC5A-015E3697AE3F}" name="Categoría"/>
    <tableColumn id="4" xr3:uid="{E2ABA46E-2D10-4D72-9453-4E01A5919AE8}" name="Vendedor"/>
    <tableColumn id="5" xr3:uid="{73C0DDE4-4389-4BA2-8B1A-A2418DB2065D}" name="Localidad"/>
    <tableColumn id="6" xr3:uid="{C17FE394-7B1C-41BC-86C1-4BC33FC5ED1D}" name="Canal"/>
    <tableColumn id="7" xr3:uid="{DF90B749-0BA4-4655-9902-3BEBE76A2F21}" name="Cantidad Vendida"/>
    <tableColumn id="8" xr3:uid="{F9A62C4D-D1F7-47FB-8535-8F23FBB63EC0}" name="Precio Unitario" dataDxfId="41"/>
    <tableColumn id="9" xr3:uid="{10E9CEE0-8068-4BFD-935B-37512A16BEF5}" name="Total Venta">
      <calculatedColumnFormula>I2*H2</calculatedColumnFormula>
    </tableColumn>
    <tableColumn id="12" xr3:uid="{11A18413-C51A-45D3-BAB1-E8B43CCFB81A}" name="Mes" dataDxfId="40">
      <calculatedColumnFormula>TEXT(Tabla1[[#This Row],[Fecha]],"MMMM")</calculatedColumnFormula>
    </tableColumn>
    <tableColumn id="11" xr3:uid="{6AEB61CC-D3F6-4F06-B729-41F104AA2DD1}" name="Dia" dataDxfId="39">
      <calculatedColumnFormula>TEXT(Tabla1[[#This Row],[Fecha]],"DD")</calculatedColumnFormula>
    </tableColumn>
    <tableColumn id="13" xr3:uid="{2173EFB7-2114-495B-A3D7-F509F72627EB}" name="Año" dataDxfId="38">
      <calculatedColumnFormula>TEXT(Tabla1[[#This Row],[Fecha]],"yyyy")</calculatedColumnFormula>
    </tableColumn>
    <tableColumn id="15" xr3:uid="{62AC6782-2457-42F4-99F6-116AB8FB2FB2}" name="Digito Mes" dataDxfId="37">
      <calculatedColumnFormula>MONTH(Tabla1[[#This Row],[Fecha]])</calculatedColumnFormula>
    </tableColumn>
    <tableColumn id="10" xr3:uid="{9131843B-0756-4C05-BF9B-8EAA9301E276}" name="Trimestre" dataDxfId="36">
      <calculatedColumnFormula>"T"&amp;ROUNDUP(MONTH(B2)/3,0)&amp;"-"&amp;RIGHT(YEAR(B2),2)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Intermedio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73BD-EFB1-45C1-9890-EFB7117EACD1}">
  <dimension ref="A1:O401"/>
  <sheetViews>
    <sheetView tabSelected="1" workbookViewId="0"/>
  </sheetViews>
  <sheetFormatPr baseColWidth="10" defaultRowHeight="15" x14ac:dyDescent="0.25"/>
  <cols>
    <col min="1" max="1" width="11.42578125" style="8"/>
    <col min="2" max="2" width="12.85546875" bestFit="1" customWidth="1"/>
    <col min="3" max="3" width="16.28515625" bestFit="1" customWidth="1"/>
    <col min="4" max="4" width="15" bestFit="1" customWidth="1"/>
    <col min="5" max="5" width="13.85546875" bestFit="1" customWidth="1"/>
    <col min="6" max="6" width="12.140625" bestFit="1" customWidth="1"/>
    <col min="7" max="7" width="21.42578125" bestFit="1" customWidth="1"/>
    <col min="8" max="8" width="18.85546875" bestFit="1" customWidth="1"/>
    <col min="9" max="9" width="15.7109375" bestFit="1" customWidth="1"/>
    <col min="10" max="11" width="10.85546875" bestFit="1" customWidth="1"/>
    <col min="12" max="12" width="5" bestFit="1" customWidth="1"/>
    <col min="13" max="13" width="10.5703125" bestFit="1" customWidth="1"/>
    <col min="15" max="15" width="11.85546875" bestFit="1" customWidth="1"/>
  </cols>
  <sheetData>
    <row r="1" spans="1:15" x14ac:dyDescent="0.25">
      <c r="A1" s="7" t="s">
        <v>387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417</v>
      </c>
    </row>
    <row r="2" spans="1:15" x14ac:dyDescent="0.25">
      <c r="A2" s="8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12</v>
      </c>
      <c r="I2" s="2">
        <v>1778</v>
      </c>
      <c r="J2">
        <f t="shared" ref="J2:J65" si="0">I2*H2</f>
        <v>21336</v>
      </c>
      <c r="K2" t="str">
        <f>TEXT(Tabla1[[#This Row],[Fecha]],"MMMM")</f>
        <v>August</v>
      </c>
      <c r="L2" t="str">
        <f>TEXT(Tabla1[[#This Row],[Fecha]],"DD")</f>
        <v>23</v>
      </c>
      <c r="M2" t="str">
        <f>TEXT(Tabla1[[#This Row],[Fecha]],"yyyy")</f>
        <v>2023</v>
      </c>
      <c r="N2">
        <f>MONTH(Tabla1[[#This Row],[Fecha]])</f>
        <v>8</v>
      </c>
      <c r="O2" s="2" t="str">
        <f t="shared" ref="O2:O65" si="1">"T"&amp;ROUNDUP(MONTH(B2)/3,0)&amp;"-"&amp;RIGHT(YEAR(B2),2)</f>
        <v>T3-23</v>
      </c>
    </row>
    <row r="3" spans="1:15" x14ac:dyDescent="0.25">
      <c r="A3" s="8">
        <v>2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14</v>
      </c>
      <c r="H3">
        <v>9</v>
      </c>
      <c r="I3" s="2">
        <v>4169</v>
      </c>
      <c r="J3">
        <f t="shared" si="0"/>
        <v>37521</v>
      </c>
      <c r="K3" t="str">
        <f>TEXT(Tabla1[[#This Row],[Fecha]],"MMMM")</f>
        <v>July</v>
      </c>
      <c r="L3" t="str">
        <f>TEXT(Tabla1[[#This Row],[Fecha]],"DD")</f>
        <v>22</v>
      </c>
      <c r="M3" t="str">
        <f>TEXT(Tabla1[[#This Row],[Fecha]],"yyyy")</f>
        <v>2025</v>
      </c>
      <c r="N3">
        <f>MONTH(Tabla1[[#This Row],[Fecha]])</f>
        <v>7</v>
      </c>
      <c r="O3" s="2" t="str">
        <f t="shared" si="1"/>
        <v>T3-25</v>
      </c>
    </row>
    <row r="4" spans="1:15" x14ac:dyDescent="0.25">
      <c r="A4" s="8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22</v>
      </c>
      <c r="I4" s="2">
        <v>4088</v>
      </c>
      <c r="J4">
        <f t="shared" si="0"/>
        <v>89936</v>
      </c>
      <c r="K4" t="str">
        <f>TEXT(Tabla1[[#This Row],[Fecha]],"MMMM")</f>
        <v>November</v>
      </c>
      <c r="L4" t="str">
        <f>TEXT(Tabla1[[#This Row],[Fecha]],"DD")</f>
        <v>04</v>
      </c>
      <c r="M4" t="str">
        <f>TEXT(Tabla1[[#This Row],[Fecha]],"yyyy")</f>
        <v>2023</v>
      </c>
      <c r="N4">
        <f>MONTH(Tabla1[[#This Row],[Fecha]])</f>
        <v>11</v>
      </c>
      <c r="O4" s="2" t="str">
        <f t="shared" si="1"/>
        <v>T4-23</v>
      </c>
    </row>
    <row r="5" spans="1:15" x14ac:dyDescent="0.25">
      <c r="A5" s="8">
        <v>4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t="s">
        <v>14</v>
      </c>
      <c r="H5">
        <v>3</v>
      </c>
      <c r="I5" s="2">
        <v>1909</v>
      </c>
      <c r="J5">
        <f t="shared" si="0"/>
        <v>5727</v>
      </c>
      <c r="K5" t="str">
        <f>TEXT(Tabla1[[#This Row],[Fecha]],"MMMM")</f>
        <v>September</v>
      </c>
      <c r="L5" t="str">
        <f>TEXT(Tabla1[[#This Row],[Fecha]],"DD")</f>
        <v>29</v>
      </c>
      <c r="M5" t="str">
        <f>TEXT(Tabla1[[#This Row],[Fecha]],"yyyy")</f>
        <v>2025</v>
      </c>
      <c r="N5">
        <f>MONTH(Tabla1[[#This Row],[Fecha]])</f>
        <v>9</v>
      </c>
      <c r="O5" s="2" t="str">
        <f t="shared" si="1"/>
        <v>T3-25</v>
      </c>
    </row>
    <row r="6" spans="1:15" x14ac:dyDescent="0.25">
      <c r="A6" s="8">
        <v>5</v>
      </c>
      <c r="B6" t="s">
        <v>29</v>
      </c>
      <c r="C6" t="s">
        <v>30</v>
      </c>
      <c r="D6" t="s">
        <v>17</v>
      </c>
      <c r="E6" t="s">
        <v>22</v>
      </c>
      <c r="F6" t="s">
        <v>28</v>
      </c>
      <c r="G6" t="s">
        <v>24</v>
      </c>
      <c r="H6">
        <v>20</v>
      </c>
      <c r="I6" s="2">
        <v>1092</v>
      </c>
      <c r="J6">
        <f t="shared" si="0"/>
        <v>21840</v>
      </c>
      <c r="K6" t="str">
        <f>TEXT(Tabla1[[#This Row],[Fecha]],"MMMM")</f>
        <v>February</v>
      </c>
      <c r="L6" t="str">
        <f>TEXT(Tabla1[[#This Row],[Fecha]],"DD")</f>
        <v>19</v>
      </c>
      <c r="M6" t="str">
        <f>TEXT(Tabla1[[#This Row],[Fecha]],"yyyy")</f>
        <v>2025</v>
      </c>
      <c r="N6">
        <f>MONTH(Tabla1[[#This Row],[Fecha]])</f>
        <v>2</v>
      </c>
      <c r="O6" s="2" t="str">
        <f t="shared" si="1"/>
        <v>T1-25</v>
      </c>
    </row>
    <row r="7" spans="1:15" x14ac:dyDescent="0.25">
      <c r="A7" s="8">
        <v>6</v>
      </c>
      <c r="B7" t="s">
        <v>31</v>
      </c>
      <c r="C7" t="s">
        <v>26</v>
      </c>
      <c r="D7" t="s">
        <v>27</v>
      </c>
      <c r="E7" t="s">
        <v>32</v>
      </c>
      <c r="F7" t="s">
        <v>33</v>
      </c>
      <c r="G7" t="s">
        <v>14</v>
      </c>
      <c r="H7">
        <v>21</v>
      </c>
      <c r="I7" s="2">
        <v>4473</v>
      </c>
      <c r="J7">
        <f t="shared" si="0"/>
        <v>93933</v>
      </c>
      <c r="K7" t="str">
        <f>TEXT(Tabla1[[#This Row],[Fecha]],"MMMM")</f>
        <v>April</v>
      </c>
      <c r="L7" t="str">
        <f>TEXT(Tabla1[[#This Row],[Fecha]],"DD")</f>
        <v>10</v>
      </c>
      <c r="M7" t="str">
        <f>TEXT(Tabla1[[#This Row],[Fecha]],"yyyy")</f>
        <v>2024</v>
      </c>
      <c r="N7">
        <f>MONTH(Tabla1[[#This Row],[Fecha]])</f>
        <v>4</v>
      </c>
      <c r="O7" s="2" t="str">
        <f t="shared" si="1"/>
        <v>T2-24</v>
      </c>
    </row>
    <row r="8" spans="1:15" x14ac:dyDescent="0.25">
      <c r="A8" s="8">
        <v>7</v>
      </c>
      <c r="B8" t="s">
        <v>34</v>
      </c>
      <c r="C8" t="s">
        <v>30</v>
      </c>
      <c r="D8" t="s">
        <v>17</v>
      </c>
      <c r="E8" t="s">
        <v>12</v>
      </c>
      <c r="F8" t="s">
        <v>35</v>
      </c>
      <c r="G8" t="s">
        <v>24</v>
      </c>
      <c r="H8">
        <v>5</v>
      </c>
      <c r="I8" s="2">
        <v>2863</v>
      </c>
      <c r="J8">
        <f t="shared" si="0"/>
        <v>14315</v>
      </c>
      <c r="K8" t="str">
        <f>TEXT(Tabla1[[#This Row],[Fecha]],"MMMM")</f>
        <v>May</v>
      </c>
      <c r="L8" t="str">
        <f>TEXT(Tabla1[[#This Row],[Fecha]],"DD")</f>
        <v>05</v>
      </c>
      <c r="M8" t="str">
        <f>TEXT(Tabla1[[#This Row],[Fecha]],"yyyy")</f>
        <v>2025</v>
      </c>
      <c r="N8">
        <f>MONTH(Tabla1[[#This Row],[Fecha]])</f>
        <v>5</v>
      </c>
      <c r="O8" s="2" t="str">
        <f t="shared" si="1"/>
        <v>T2-25</v>
      </c>
    </row>
    <row r="9" spans="1:15" x14ac:dyDescent="0.25">
      <c r="A9" s="8">
        <v>8</v>
      </c>
      <c r="B9" t="s">
        <v>36</v>
      </c>
      <c r="C9" t="s">
        <v>37</v>
      </c>
      <c r="D9" t="s">
        <v>38</v>
      </c>
      <c r="E9" t="s">
        <v>32</v>
      </c>
      <c r="F9" t="s">
        <v>33</v>
      </c>
      <c r="G9" t="s">
        <v>24</v>
      </c>
      <c r="H9">
        <v>2</v>
      </c>
      <c r="I9" s="2">
        <v>4228</v>
      </c>
      <c r="J9">
        <f t="shared" si="0"/>
        <v>8456</v>
      </c>
      <c r="K9" t="str">
        <f>TEXT(Tabla1[[#This Row],[Fecha]],"MMMM")</f>
        <v>July</v>
      </c>
      <c r="L9" t="str">
        <f>TEXT(Tabla1[[#This Row],[Fecha]],"DD")</f>
        <v>15</v>
      </c>
      <c r="M9" t="str">
        <f>TEXT(Tabla1[[#This Row],[Fecha]],"yyyy")</f>
        <v>2024</v>
      </c>
      <c r="N9">
        <f>MONTH(Tabla1[[#This Row],[Fecha]])</f>
        <v>7</v>
      </c>
      <c r="O9" s="2" t="str">
        <f t="shared" si="1"/>
        <v>T3-24</v>
      </c>
    </row>
    <row r="10" spans="1:15" x14ac:dyDescent="0.25">
      <c r="A10" s="8">
        <v>9</v>
      </c>
      <c r="B10" t="s">
        <v>39</v>
      </c>
      <c r="C10" t="s">
        <v>10</v>
      </c>
      <c r="D10" t="s">
        <v>11</v>
      </c>
      <c r="E10" t="s">
        <v>22</v>
      </c>
      <c r="F10" t="s">
        <v>28</v>
      </c>
      <c r="G10" t="s">
        <v>14</v>
      </c>
      <c r="H10">
        <v>15</v>
      </c>
      <c r="I10" s="2">
        <v>4814</v>
      </c>
      <c r="J10">
        <f t="shared" si="0"/>
        <v>72210</v>
      </c>
      <c r="K10" t="str">
        <f>TEXT(Tabla1[[#This Row],[Fecha]],"MMMM")</f>
        <v>March</v>
      </c>
      <c r="L10" t="str">
        <f>TEXT(Tabla1[[#This Row],[Fecha]],"DD")</f>
        <v>28</v>
      </c>
      <c r="M10" t="str">
        <f>TEXT(Tabla1[[#This Row],[Fecha]],"yyyy")</f>
        <v>2024</v>
      </c>
      <c r="N10">
        <f>MONTH(Tabla1[[#This Row],[Fecha]])</f>
        <v>3</v>
      </c>
      <c r="O10" s="2" t="str">
        <f t="shared" si="1"/>
        <v>T1-24</v>
      </c>
    </row>
    <row r="11" spans="1:15" x14ac:dyDescent="0.25">
      <c r="A11" s="8">
        <v>10</v>
      </c>
      <c r="B11" t="s">
        <v>40</v>
      </c>
      <c r="C11" t="s">
        <v>16</v>
      </c>
      <c r="D11" t="s">
        <v>17</v>
      </c>
      <c r="E11" t="s">
        <v>41</v>
      </c>
      <c r="F11" t="s">
        <v>42</v>
      </c>
      <c r="G11" t="s">
        <v>24</v>
      </c>
      <c r="H11">
        <v>17</v>
      </c>
      <c r="I11" s="2">
        <v>3882</v>
      </c>
      <c r="J11">
        <f t="shared" si="0"/>
        <v>65994</v>
      </c>
      <c r="K11" t="str">
        <f>TEXT(Tabla1[[#This Row],[Fecha]],"MMMM")</f>
        <v>August</v>
      </c>
      <c r="L11" t="str">
        <f>TEXT(Tabla1[[#This Row],[Fecha]],"DD")</f>
        <v>14</v>
      </c>
      <c r="M11" t="str">
        <f>TEXT(Tabla1[[#This Row],[Fecha]],"yyyy")</f>
        <v>2023</v>
      </c>
      <c r="N11">
        <f>MONTH(Tabla1[[#This Row],[Fecha]])</f>
        <v>8</v>
      </c>
      <c r="O11" s="2" t="str">
        <f t="shared" si="1"/>
        <v>T3-23</v>
      </c>
    </row>
    <row r="12" spans="1:15" x14ac:dyDescent="0.25">
      <c r="A12" s="8">
        <v>11</v>
      </c>
      <c r="B12" t="s">
        <v>43</v>
      </c>
      <c r="C12" t="s">
        <v>16</v>
      </c>
      <c r="D12" t="s">
        <v>17</v>
      </c>
      <c r="E12" t="s">
        <v>44</v>
      </c>
      <c r="F12" t="s">
        <v>33</v>
      </c>
      <c r="G12" t="s">
        <v>14</v>
      </c>
      <c r="H12">
        <v>9</v>
      </c>
      <c r="I12" s="2">
        <v>3052</v>
      </c>
      <c r="J12">
        <f t="shared" si="0"/>
        <v>27468</v>
      </c>
      <c r="K12" t="str">
        <f>TEXT(Tabla1[[#This Row],[Fecha]],"MMMM")</f>
        <v>July</v>
      </c>
      <c r="L12" t="str">
        <f>TEXT(Tabla1[[#This Row],[Fecha]],"DD")</f>
        <v>10</v>
      </c>
      <c r="M12" t="str">
        <f>TEXT(Tabla1[[#This Row],[Fecha]],"yyyy")</f>
        <v>2025</v>
      </c>
      <c r="N12">
        <f>MONTH(Tabla1[[#This Row],[Fecha]])</f>
        <v>7</v>
      </c>
      <c r="O12" s="2" t="str">
        <f t="shared" si="1"/>
        <v>T3-25</v>
      </c>
    </row>
    <row r="13" spans="1:15" x14ac:dyDescent="0.25">
      <c r="A13" s="8">
        <v>12</v>
      </c>
      <c r="B13" t="s">
        <v>45</v>
      </c>
      <c r="C13" t="s">
        <v>46</v>
      </c>
      <c r="D13" t="s">
        <v>38</v>
      </c>
      <c r="E13" t="s">
        <v>32</v>
      </c>
      <c r="F13" t="s">
        <v>33</v>
      </c>
      <c r="G13" t="s">
        <v>24</v>
      </c>
      <c r="H13">
        <v>6</v>
      </c>
      <c r="I13" s="2">
        <v>3210</v>
      </c>
      <c r="J13">
        <f t="shared" si="0"/>
        <v>19260</v>
      </c>
      <c r="K13" t="str">
        <f>TEXT(Tabla1[[#This Row],[Fecha]],"MMMM")</f>
        <v>April</v>
      </c>
      <c r="L13" t="str">
        <f>TEXT(Tabla1[[#This Row],[Fecha]],"DD")</f>
        <v>30</v>
      </c>
      <c r="M13" t="str">
        <f>TEXT(Tabla1[[#This Row],[Fecha]],"yyyy")</f>
        <v>2025</v>
      </c>
      <c r="N13">
        <f>MONTH(Tabla1[[#This Row],[Fecha]])</f>
        <v>4</v>
      </c>
      <c r="O13" s="2" t="str">
        <f t="shared" si="1"/>
        <v>T2-25</v>
      </c>
    </row>
    <row r="14" spans="1:15" x14ac:dyDescent="0.25">
      <c r="A14" s="8">
        <v>13</v>
      </c>
      <c r="B14" t="s">
        <v>47</v>
      </c>
      <c r="C14" t="s">
        <v>46</v>
      </c>
      <c r="D14" t="s">
        <v>38</v>
      </c>
      <c r="E14" t="s">
        <v>41</v>
      </c>
      <c r="F14" t="s">
        <v>23</v>
      </c>
      <c r="G14" t="s">
        <v>14</v>
      </c>
      <c r="H14">
        <v>15</v>
      </c>
      <c r="I14" s="2">
        <v>4285</v>
      </c>
      <c r="J14">
        <f t="shared" si="0"/>
        <v>64275</v>
      </c>
      <c r="K14" t="str">
        <f>TEXT(Tabla1[[#This Row],[Fecha]],"MMMM")</f>
        <v>September</v>
      </c>
      <c r="L14" t="str">
        <f>TEXT(Tabla1[[#This Row],[Fecha]],"DD")</f>
        <v>02</v>
      </c>
      <c r="M14" t="str">
        <f>TEXT(Tabla1[[#This Row],[Fecha]],"yyyy")</f>
        <v>2025</v>
      </c>
      <c r="N14">
        <f>MONTH(Tabla1[[#This Row],[Fecha]])</f>
        <v>9</v>
      </c>
      <c r="O14" s="2" t="str">
        <f t="shared" si="1"/>
        <v>T3-25</v>
      </c>
    </row>
    <row r="15" spans="1:15" x14ac:dyDescent="0.25">
      <c r="A15" s="8">
        <v>14</v>
      </c>
      <c r="B15" t="s">
        <v>48</v>
      </c>
      <c r="C15" t="s">
        <v>49</v>
      </c>
      <c r="D15" t="s">
        <v>21</v>
      </c>
      <c r="E15" t="s">
        <v>50</v>
      </c>
      <c r="F15" t="s">
        <v>13</v>
      </c>
      <c r="G15" t="s">
        <v>14</v>
      </c>
      <c r="H15">
        <v>6</v>
      </c>
      <c r="I15" s="2">
        <v>4233</v>
      </c>
      <c r="J15">
        <f t="shared" si="0"/>
        <v>25398</v>
      </c>
      <c r="K15" t="str">
        <f>TEXT(Tabla1[[#This Row],[Fecha]],"MMMM")</f>
        <v>April</v>
      </c>
      <c r="L15" t="str">
        <f>TEXT(Tabla1[[#This Row],[Fecha]],"DD")</f>
        <v>29</v>
      </c>
      <c r="M15" t="str">
        <f>TEXT(Tabla1[[#This Row],[Fecha]],"yyyy")</f>
        <v>2025</v>
      </c>
      <c r="N15">
        <f>MONTH(Tabla1[[#This Row],[Fecha]])</f>
        <v>4</v>
      </c>
      <c r="O15" s="2" t="str">
        <f t="shared" si="1"/>
        <v>T2-25</v>
      </c>
    </row>
    <row r="16" spans="1:15" x14ac:dyDescent="0.25">
      <c r="A16" s="8">
        <v>15</v>
      </c>
      <c r="B16" t="s">
        <v>51</v>
      </c>
      <c r="C16" t="s">
        <v>46</v>
      </c>
      <c r="D16" t="s">
        <v>38</v>
      </c>
      <c r="E16" t="s">
        <v>52</v>
      </c>
      <c r="F16" t="s">
        <v>13</v>
      </c>
      <c r="G16" t="s">
        <v>14</v>
      </c>
      <c r="H16">
        <v>10</v>
      </c>
      <c r="I16" s="2">
        <v>4627</v>
      </c>
      <c r="J16">
        <f t="shared" si="0"/>
        <v>46270</v>
      </c>
      <c r="K16" t="str">
        <f>TEXT(Tabla1[[#This Row],[Fecha]],"MMMM")</f>
        <v>January</v>
      </c>
      <c r="L16" t="str">
        <f>TEXT(Tabla1[[#This Row],[Fecha]],"DD")</f>
        <v>13</v>
      </c>
      <c r="M16" t="str">
        <f>TEXT(Tabla1[[#This Row],[Fecha]],"yyyy")</f>
        <v>2025</v>
      </c>
      <c r="N16">
        <f>MONTH(Tabla1[[#This Row],[Fecha]])</f>
        <v>1</v>
      </c>
      <c r="O16" s="2" t="str">
        <f t="shared" si="1"/>
        <v>T1-25</v>
      </c>
    </row>
    <row r="17" spans="1:15" x14ac:dyDescent="0.25">
      <c r="A17" s="8">
        <v>16</v>
      </c>
      <c r="B17" t="s">
        <v>53</v>
      </c>
      <c r="C17" t="s">
        <v>46</v>
      </c>
      <c r="D17" t="s">
        <v>38</v>
      </c>
      <c r="E17" t="s">
        <v>50</v>
      </c>
      <c r="F17" t="s">
        <v>18</v>
      </c>
      <c r="G17" t="s">
        <v>14</v>
      </c>
      <c r="H17">
        <v>11</v>
      </c>
      <c r="I17" s="2">
        <v>1366</v>
      </c>
      <c r="J17">
        <f t="shared" si="0"/>
        <v>15026</v>
      </c>
      <c r="K17" t="str">
        <f>TEXT(Tabla1[[#This Row],[Fecha]],"MMMM")</f>
        <v>December</v>
      </c>
      <c r="L17" t="str">
        <f>TEXT(Tabla1[[#This Row],[Fecha]],"DD")</f>
        <v>10</v>
      </c>
      <c r="M17" t="str">
        <f>TEXT(Tabla1[[#This Row],[Fecha]],"yyyy")</f>
        <v>2025</v>
      </c>
      <c r="N17">
        <f>MONTH(Tabla1[[#This Row],[Fecha]])</f>
        <v>12</v>
      </c>
      <c r="O17" s="2" t="str">
        <f t="shared" si="1"/>
        <v>T4-25</v>
      </c>
    </row>
    <row r="18" spans="1:15" x14ac:dyDescent="0.25">
      <c r="A18" s="8">
        <v>17</v>
      </c>
      <c r="B18" t="s">
        <v>54</v>
      </c>
      <c r="C18" t="s">
        <v>10</v>
      </c>
      <c r="D18" t="s">
        <v>11</v>
      </c>
      <c r="E18" t="s">
        <v>12</v>
      </c>
      <c r="F18" t="s">
        <v>18</v>
      </c>
      <c r="G18" t="s">
        <v>14</v>
      </c>
      <c r="H18">
        <v>16</v>
      </c>
      <c r="I18" s="2">
        <v>1344</v>
      </c>
      <c r="J18">
        <f t="shared" si="0"/>
        <v>21504</v>
      </c>
      <c r="K18" t="str">
        <f>TEXT(Tabla1[[#This Row],[Fecha]],"MMMM")</f>
        <v>May</v>
      </c>
      <c r="L18" t="str">
        <f>TEXT(Tabla1[[#This Row],[Fecha]],"DD")</f>
        <v>27</v>
      </c>
      <c r="M18" t="str">
        <f>TEXT(Tabla1[[#This Row],[Fecha]],"yyyy")</f>
        <v>2023</v>
      </c>
      <c r="N18">
        <f>MONTH(Tabla1[[#This Row],[Fecha]])</f>
        <v>5</v>
      </c>
      <c r="O18" s="2" t="str">
        <f t="shared" si="1"/>
        <v>T2-23</v>
      </c>
    </row>
    <row r="19" spans="1:15" x14ac:dyDescent="0.25">
      <c r="A19" s="8">
        <v>18</v>
      </c>
      <c r="B19" t="s">
        <v>55</v>
      </c>
      <c r="C19" t="s">
        <v>46</v>
      </c>
      <c r="D19" t="s">
        <v>38</v>
      </c>
      <c r="E19" t="s">
        <v>41</v>
      </c>
      <c r="F19" t="s">
        <v>42</v>
      </c>
      <c r="G19" t="s">
        <v>24</v>
      </c>
      <c r="H19">
        <v>11</v>
      </c>
      <c r="I19" s="2">
        <v>2482</v>
      </c>
      <c r="J19">
        <f t="shared" si="0"/>
        <v>27302</v>
      </c>
      <c r="K19" t="str">
        <f>TEXT(Tabla1[[#This Row],[Fecha]],"MMMM")</f>
        <v>January</v>
      </c>
      <c r="L19" t="str">
        <f>TEXT(Tabla1[[#This Row],[Fecha]],"DD")</f>
        <v>26</v>
      </c>
      <c r="M19" t="str">
        <f>TEXT(Tabla1[[#This Row],[Fecha]],"yyyy")</f>
        <v>2025</v>
      </c>
      <c r="N19">
        <f>MONTH(Tabla1[[#This Row],[Fecha]])</f>
        <v>1</v>
      </c>
      <c r="O19" s="2" t="str">
        <f t="shared" si="1"/>
        <v>T1-25</v>
      </c>
    </row>
    <row r="20" spans="1:15" x14ac:dyDescent="0.25">
      <c r="A20" s="8">
        <v>19</v>
      </c>
      <c r="B20" t="s">
        <v>56</v>
      </c>
      <c r="C20" t="s">
        <v>30</v>
      </c>
      <c r="D20" t="s">
        <v>17</v>
      </c>
      <c r="E20" t="s">
        <v>32</v>
      </c>
      <c r="F20" t="s">
        <v>33</v>
      </c>
      <c r="G20" t="s">
        <v>24</v>
      </c>
      <c r="H20">
        <v>18</v>
      </c>
      <c r="I20" s="2">
        <v>4861</v>
      </c>
      <c r="J20">
        <f t="shared" si="0"/>
        <v>87498</v>
      </c>
      <c r="K20" t="str">
        <f>TEXT(Tabla1[[#This Row],[Fecha]],"MMMM")</f>
        <v>July</v>
      </c>
      <c r="L20" t="str">
        <f>TEXT(Tabla1[[#This Row],[Fecha]],"DD")</f>
        <v>26</v>
      </c>
      <c r="M20" t="str">
        <f>TEXT(Tabla1[[#This Row],[Fecha]],"yyyy")</f>
        <v>2023</v>
      </c>
      <c r="N20">
        <f>MONTH(Tabla1[[#This Row],[Fecha]])</f>
        <v>7</v>
      </c>
      <c r="O20" s="2" t="str">
        <f t="shared" si="1"/>
        <v>T3-23</v>
      </c>
    </row>
    <row r="21" spans="1:15" x14ac:dyDescent="0.25">
      <c r="A21" s="8">
        <v>20</v>
      </c>
      <c r="B21" t="s">
        <v>57</v>
      </c>
      <c r="C21" t="s">
        <v>37</v>
      </c>
      <c r="D21" t="s">
        <v>38</v>
      </c>
      <c r="E21" t="s">
        <v>58</v>
      </c>
      <c r="F21" t="s">
        <v>23</v>
      </c>
      <c r="G21" t="s">
        <v>14</v>
      </c>
      <c r="H21">
        <v>19</v>
      </c>
      <c r="I21" s="2">
        <v>1277</v>
      </c>
      <c r="J21">
        <f t="shared" si="0"/>
        <v>24263</v>
      </c>
      <c r="K21" t="str">
        <f>TEXT(Tabla1[[#This Row],[Fecha]],"MMMM")</f>
        <v>April</v>
      </c>
      <c r="L21" t="str">
        <f>TEXT(Tabla1[[#This Row],[Fecha]],"DD")</f>
        <v>12</v>
      </c>
      <c r="M21" t="str">
        <f>TEXT(Tabla1[[#This Row],[Fecha]],"yyyy")</f>
        <v>2023</v>
      </c>
      <c r="N21">
        <f>MONTH(Tabla1[[#This Row],[Fecha]])</f>
        <v>4</v>
      </c>
      <c r="O21" s="2" t="str">
        <f t="shared" si="1"/>
        <v>T2-23</v>
      </c>
    </row>
    <row r="22" spans="1:15" x14ac:dyDescent="0.25">
      <c r="A22" s="8">
        <v>21</v>
      </c>
      <c r="B22" t="s">
        <v>59</v>
      </c>
      <c r="C22" t="s">
        <v>37</v>
      </c>
      <c r="D22" t="s">
        <v>38</v>
      </c>
      <c r="E22" t="s">
        <v>12</v>
      </c>
      <c r="F22" t="s">
        <v>18</v>
      </c>
      <c r="G22" t="s">
        <v>14</v>
      </c>
      <c r="H22">
        <v>2</v>
      </c>
      <c r="I22" s="2">
        <v>3737</v>
      </c>
      <c r="J22">
        <f t="shared" si="0"/>
        <v>7474</v>
      </c>
      <c r="K22" t="str">
        <f>TEXT(Tabla1[[#This Row],[Fecha]],"MMMM")</f>
        <v>August</v>
      </c>
      <c r="L22" t="str">
        <f>TEXT(Tabla1[[#This Row],[Fecha]],"DD")</f>
        <v>10</v>
      </c>
      <c r="M22" t="str">
        <f>TEXT(Tabla1[[#This Row],[Fecha]],"yyyy")</f>
        <v>2025</v>
      </c>
      <c r="N22">
        <f>MONTH(Tabla1[[#This Row],[Fecha]])</f>
        <v>8</v>
      </c>
      <c r="O22" s="2" t="str">
        <f t="shared" si="1"/>
        <v>T3-25</v>
      </c>
    </row>
    <row r="23" spans="1:15" x14ac:dyDescent="0.25">
      <c r="A23" s="8">
        <v>22</v>
      </c>
      <c r="B23" t="s">
        <v>60</v>
      </c>
      <c r="C23" t="s">
        <v>26</v>
      </c>
      <c r="D23" t="s">
        <v>27</v>
      </c>
      <c r="E23" t="s">
        <v>61</v>
      </c>
      <c r="F23" t="s">
        <v>33</v>
      </c>
      <c r="G23" t="s">
        <v>24</v>
      </c>
      <c r="H23">
        <v>15</v>
      </c>
      <c r="I23" s="2">
        <v>1606</v>
      </c>
      <c r="J23">
        <f t="shared" si="0"/>
        <v>24090</v>
      </c>
      <c r="K23" t="str">
        <f>TEXT(Tabla1[[#This Row],[Fecha]],"MMMM")</f>
        <v>September</v>
      </c>
      <c r="L23" t="str">
        <f>TEXT(Tabla1[[#This Row],[Fecha]],"DD")</f>
        <v>25</v>
      </c>
      <c r="M23" t="str">
        <f>TEXT(Tabla1[[#This Row],[Fecha]],"yyyy")</f>
        <v>2023</v>
      </c>
      <c r="N23">
        <f>MONTH(Tabla1[[#This Row],[Fecha]])</f>
        <v>9</v>
      </c>
      <c r="O23" s="2" t="str">
        <f t="shared" si="1"/>
        <v>T3-23</v>
      </c>
    </row>
    <row r="24" spans="1:15" x14ac:dyDescent="0.25">
      <c r="A24" s="8">
        <v>23</v>
      </c>
      <c r="B24" t="s">
        <v>62</v>
      </c>
      <c r="C24" t="s">
        <v>37</v>
      </c>
      <c r="D24" t="s">
        <v>38</v>
      </c>
      <c r="E24" t="s">
        <v>22</v>
      </c>
      <c r="F24" t="s">
        <v>18</v>
      </c>
      <c r="G24" t="s">
        <v>24</v>
      </c>
      <c r="H24">
        <v>11</v>
      </c>
      <c r="I24" s="2">
        <v>4852</v>
      </c>
      <c r="J24">
        <f t="shared" si="0"/>
        <v>53372</v>
      </c>
      <c r="K24" t="str">
        <f>TEXT(Tabla1[[#This Row],[Fecha]],"MMMM")</f>
        <v>March</v>
      </c>
      <c r="L24" t="str">
        <f>TEXT(Tabla1[[#This Row],[Fecha]],"DD")</f>
        <v>08</v>
      </c>
      <c r="M24" t="str">
        <f>TEXT(Tabla1[[#This Row],[Fecha]],"yyyy")</f>
        <v>2024</v>
      </c>
      <c r="N24">
        <f>MONTH(Tabla1[[#This Row],[Fecha]])</f>
        <v>3</v>
      </c>
      <c r="O24" s="2" t="str">
        <f t="shared" si="1"/>
        <v>T1-24</v>
      </c>
    </row>
    <row r="25" spans="1:15" x14ac:dyDescent="0.25">
      <c r="A25" s="8">
        <v>24</v>
      </c>
      <c r="B25" t="s">
        <v>63</v>
      </c>
      <c r="C25" t="s">
        <v>37</v>
      </c>
      <c r="D25" t="s">
        <v>38</v>
      </c>
      <c r="E25" t="s">
        <v>22</v>
      </c>
      <c r="F25" t="s">
        <v>33</v>
      </c>
      <c r="G25" t="s">
        <v>24</v>
      </c>
      <c r="H25">
        <v>3</v>
      </c>
      <c r="I25" s="2">
        <v>4465</v>
      </c>
      <c r="J25">
        <f t="shared" si="0"/>
        <v>13395</v>
      </c>
      <c r="K25" t="str">
        <f>TEXT(Tabla1[[#This Row],[Fecha]],"MMMM")</f>
        <v>November</v>
      </c>
      <c r="L25" t="str">
        <f>TEXT(Tabla1[[#This Row],[Fecha]],"DD")</f>
        <v>02</v>
      </c>
      <c r="M25" t="str">
        <f>TEXT(Tabla1[[#This Row],[Fecha]],"yyyy")</f>
        <v>2024</v>
      </c>
      <c r="N25">
        <f>MONTH(Tabla1[[#This Row],[Fecha]])</f>
        <v>11</v>
      </c>
      <c r="O25" s="2" t="str">
        <f t="shared" si="1"/>
        <v>T4-24</v>
      </c>
    </row>
    <row r="26" spans="1:15" x14ac:dyDescent="0.25">
      <c r="A26" s="8">
        <v>25</v>
      </c>
      <c r="B26" t="s">
        <v>64</v>
      </c>
      <c r="C26" t="s">
        <v>26</v>
      </c>
      <c r="D26" t="s">
        <v>27</v>
      </c>
      <c r="E26" t="s">
        <v>41</v>
      </c>
      <c r="F26" t="s">
        <v>18</v>
      </c>
      <c r="G26" t="s">
        <v>14</v>
      </c>
      <c r="H26">
        <v>4</v>
      </c>
      <c r="I26" s="2">
        <v>2928</v>
      </c>
      <c r="J26">
        <f t="shared" si="0"/>
        <v>11712</v>
      </c>
      <c r="K26" t="str">
        <f>TEXT(Tabla1[[#This Row],[Fecha]],"MMMM")</f>
        <v>May</v>
      </c>
      <c r="L26" t="str">
        <f>TEXT(Tabla1[[#This Row],[Fecha]],"DD")</f>
        <v>09</v>
      </c>
      <c r="M26" t="str">
        <f>TEXT(Tabla1[[#This Row],[Fecha]],"yyyy")</f>
        <v>2025</v>
      </c>
      <c r="N26">
        <f>MONTH(Tabla1[[#This Row],[Fecha]])</f>
        <v>5</v>
      </c>
      <c r="O26" s="2" t="str">
        <f t="shared" si="1"/>
        <v>T2-25</v>
      </c>
    </row>
    <row r="27" spans="1:15" x14ac:dyDescent="0.25">
      <c r="A27" s="8">
        <v>26</v>
      </c>
      <c r="B27" t="s">
        <v>65</v>
      </c>
      <c r="C27" t="s">
        <v>66</v>
      </c>
      <c r="D27" t="s">
        <v>17</v>
      </c>
      <c r="E27" t="s">
        <v>41</v>
      </c>
      <c r="F27" t="s">
        <v>18</v>
      </c>
      <c r="G27" t="s">
        <v>14</v>
      </c>
      <c r="H27">
        <v>20</v>
      </c>
      <c r="I27" s="2">
        <v>1689</v>
      </c>
      <c r="J27">
        <f t="shared" si="0"/>
        <v>33780</v>
      </c>
      <c r="K27" t="str">
        <f>TEXT(Tabla1[[#This Row],[Fecha]],"MMMM")</f>
        <v>August</v>
      </c>
      <c r="L27" t="str">
        <f>TEXT(Tabla1[[#This Row],[Fecha]],"DD")</f>
        <v>10</v>
      </c>
      <c r="M27" t="str">
        <f>TEXT(Tabla1[[#This Row],[Fecha]],"yyyy")</f>
        <v>2023</v>
      </c>
      <c r="N27">
        <f>MONTH(Tabla1[[#This Row],[Fecha]])</f>
        <v>8</v>
      </c>
      <c r="O27" s="2" t="str">
        <f t="shared" si="1"/>
        <v>T3-23</v>
      </c>
    </row>
    <row r="28" spans="1:15" x14ac:dyDescent="0.25">
      <c r="A28" s="8">
        <v>27</v>
      </c>
      <c r="B28" t="s">
        <v>67</v>
      </c>
      <c r="C28" t="s">
        <v>20</v>
      </c>
      <c r="D28" t="s">
        <v>21</v>
      </c>
      <c r="E28" t="s">
        <v>61</v>
      </c>
      <c r="F28" t="s">
        <v>13</v>
      </c>
      <c r="G28" t="s">
        <v>14</v>
      </c>
      <c r="H28">
        <v>19</v>
      </c>
      <c r="I28" s="2">
        <v>695</v>
      </c>
      <c r="J28">
        <f t="shared" si="0"/>
        <v>13205</v>
      </c>
      <c r="K28" t="str">
        <f>TEXT(Tabla1[[#This Row],[Fecha]],"MMMM")</f>
        <v>November</v>
      </c>
      <c r="L28" t="str">
        <f>TEXT(Tabla1[[#This Row],[Fecha]],"DD")</f>
        <v>10</v>
      </c>
      <c r="M28" t="str">
        <f>TEXT(Tabla1[[#This Row],[Fecha]],"yyyy")</f>
        <v>2024</v>
      </c>
      <c r="N28">
        <f>MONTH(Tabla1[[#This Row],[Fecha]])</f>
        <v>11</v>
      </c>
      <c r="O28" s="2" t="str">
        <f t="shared" si="1"/>
        <v>T4-24</v>
      </c>
    </row>
    <row r="29" spans="1:15" x14ac:dyDescent="0.25">
      <c r="A29" s="8">
        <v>28</v>
      </c>
      <c r="B29" t="s">
        <v>68</v>
      </c>
      <c r="C29" t="s">
        <v>69</v>
      </c>
      <c r="D29" t="s">
        <v>17</v>
      </c>
      <c r="E29" t="s">
        <v>44</v>
      </c>
      <c r="F29" t="s">
        <v>28</v>
      </c>
      <c r="G29" t="s">
        <v>14</v>
      </c>
      <c r="H29">
        <v>23</v>
      </c>
      <c r="I29" s="2">
        <v>3852</v>
      </c>
      <c r="J29">
        <f t="shared" si="0"/>
        <v>88596</v>
      </c>
      <c r="K29" t="str">
        <f>TEXT(Tabla1[[#This Row],[Fecha]],"MMMM")</f>
        <v>May</v>
      </c>
      <c r="L29" t="str">
        <f>TEXT(Tabla1[[#This Row],[Fecha]],"DD")</f>
        <v>28</v>
      </c>
      <c r="M29" t="str">
        <f>TEXT(Tabla1[[#This Row],[Fecha]],"yyyy")</f>
        <v>2024</v>
      </c>
      <c r="N29">
        <f>MONTH(Tabla1[[#This Row],[Fecha]])</f>
        <v>5</v>
      </c>
      <c r="O29" s="2" t="str">
        <f t="shared" si="1"/>
        <v>T2-24</v>
      </c>
    </row>
    <row r="30" spans="1:15" x14ac:dyDescent="0.25">
      <c r="A30" s="8">
        <v>29</v>
      </c>
      <c r="B30" t="s">
        <v>70</v>
      </c>
      <c r="C30" t="s">
        <v>10</v>
      </c>
      <c r="D30" t="s">
        <v>11</v>
      </c>
      <c r="E30" t="s">
        <v>32</v>
      </c>
      <c r="F30" t="s">
        <v>28</v>
      </c>
      <c r="G30" t="s">
        <v>14</v>
      </c>
      <c r="H30">
        <v>11</v>
      </c>
      <c r="I30" s="2">
        <v>3903</v>
      </c>
      <c r="J30">
        <f t="shared" si="0"/>
        <v>42933</v>
      </c>
      <c r="K30" t="str">
        <f>TEXT(Tabla1[[#This Row],[Fecha]],"MMMM")</f>
        <v>May</v>
      </c>
      <c r="L30" t="str">
        <f>TEXT(Tabla1[[#This Row],[Fecha]],"DD")</f>
        <v>21</v>
      </c>
      <c r="M30" t="str">
        <f>TEXT(Tabla1[[#This Row],[Fecha]],"yyyy")</f>
        <v>2023</v>
      </c>
      <c r="N30">
        <f>MONTH(Tabla1[[#This Row],[Fecha]])</f>
        <v>5</v>
      </c>
      <c r="O30" s="2" t="str">
        <f t="shared" si="1"/>
        <v>T2-23</v>
      </c>
    </row>
    <row r="31" spans="1:15" x14ac:dyDescent="0.25">
      <c r="A31" s="8">
        <v>30</v>
      </c>
      <c r="B31" t="s">
        <v>71</v>
      </c>
      <c r="C31" t="s">
        <v>30</v>
      </c>
      <c r="D31" t="s">
        <v>17</v>
      </c>
      <c r="E31" t="s">
        <v>72</v>
      </c>
      <c r="F31" t="s">
        <v>18</v>
      </c>
      <c r="G31" t="s">
        <v>24</v>
      </c>
      <c r="H31">
        <v>10</v>
      </c>
      <c r="I31" s="2">
        <v>666</v>
      </c>
      <c r="J31">
        <f t="shared" si="0"/>
        <v>6660</v>
      </c>
      <c r="K31" t="str">
        <f>TEXT(Tabla1[[#This Row],[Fecha]],"MMMM")</f>
        <v>October</v>
      </c>
      <c r="L31" t="str">
        <f>TEXT(Tabla1[[#This Row],[Fecha]],"DD")</f>
        <v>18</v>
      </c>
      <c r="M31" t="str">
        <f>TEXT(Tabla1[[#This Row],[Fecha]],"yyyy")</f>
        <v>2025</v>
      </c>
      <c r="N31">
        <f>MONTH(Tabla1[[#This Row],[Fecha]])</f>
        <v>10</v>
      </c>
      <c r="O31" s="2" t="str">
        <f t="shared" si="1"/>
        <v>T4-25</v>
      </c>
    </row>
    <row r="32" spans="1:15" x14ac:dyDescent="0.25">
      <c r="A32" s="8">
        <v>31</v>
      </c>
      <c r="B32" t="s">
        <v>73</v>
      </c>
      <c r="C32" t="s">
        <v>49</v>
      </c>
      <c r="D32" t="s">
        <v>21</v>
      </c>
      <c r="E32" t="s">
        <v>32</v>
      </c>
      <c r="F32" t="s">
        <v>35</v>
      </c>
      <c r="G32" t="s">
        <v>14</v>
      </c>
      <c r="H32">
        <v>10</v>
      </c>
      <c r="I32" s="2">
        <v>4832</v>
      </c>
      <c r="J32">
        <f t="shared" si="0"/>
        <v>48320</v>
      </c>
      <c r="K32" t="str">
        <f>TEXT(Tabla1[[#This Row],[Fecha]],"MMMM")</f>
        <v>May</v>
      </c>
      <c r="L32" t="str">
        <f>TEXT(Tabla1[[#This Row],[Fecha]],"DD")</f>
        <v>08</v>
      </c>
      <c r="M32" t="str">
        <f>TEXT(Tabla1[[#This Row],[Fecha]],"yyyy")</f>
        <v>2025</v>
      </c>
      <c r="N32">
        <f>MONTH(Tabla1[[#This Row],[Fecha]])</f>
        <v>5</v>
      </c>
      <c r="O32" s="2" t="str">
        <f t="shared" si="1"/>
        <v>T2-25</v>
      </c>
    </row>
    <row r="33" spans="1:15" x14ac:dyDescent="0.25">
      <c r="A33" s="8">
        <v>32</v>
      </c>
      <c r="B33" t="s">
        <v>74</v>
      </c>
      <c r="C33" t="s">
        <v>46</v>
      </c>
      <c r="D33" t="s">
        <v>38</v>
      </c>
      <c r="E33" t="s">
        <v>61</v>
      </c>
      <c r="F33" t="s">
        <v>42</v>
      </c>
      <c r="G33" t="s">
        <v>14</v>
      </c>
      <c r="H33">
        <v>7</v>
      </c>
      <c r="I33" s="2">
        <v>633</v>
      </c>
      <c r="J33">
        <f t="shared" si="0"/>
        <v>4431</v>
      </c>
      <c r="K33" t="str">
        <f>TEXT(Tabla1[[#This Row],[Fecha]],"MMMM")</f>
        <v>May</v>
      </c>
      <c r="L33" t="str">
        <f>TEXT(Tabla1[[#This Row],[Fecha]],"DD")</f>
        <v>26</v>
      </c>
      <c r="M33" t="str">
        <f>TEXT(Tabla1[[#This Row],[Fecha]],"yyyy")</f>
        <v>2025</v>
      </c>
      <c r="N33">
        <f>MONTH(Tabla1[[#This Row],[Fecha]])</f>
        <v>5</v>
      </c>
      <c r="O33" s="2" t="str">
        <f t="shared" si="1"/>
        <v>T2-25</v>
      </c>
    </row>
    <row r="34" spans="1:15" x14ac:dyDescent="0.25">
      <c r="A34" s="8">
        <v>33</v>
      </c>
      <c r="B34" t="s">
        <v>75</v>
      </c>
      <c r="C34" t="s">
        <v>26</v>
      </c>
      <c r="D34" t="s">
        <v>27</v>
      </c>
      <c r="E34" t="s">
        <v>72</v>
      </c>
      <c r="F34" t="s">
        <v>35</v>
      </c>
      <c r="G34" t="s">
        <v>14</v>
      </c>
      <c r="H34">
        <v>2</v>
      </c>
      <c r="I34" s="2">
        <v>576</v>
      </c>
      <c r="J34">
        <f t="shared" si="0"/>
        <v>1152</v>
      </c>
      <c r="K34" t="str">
        <f>TEXT(Tabla1[[#This Row],[Fecha]],"MMMM")</f>
        <v>February</v>
      </c>
      <c r="L34" t="str">
        <f>TEXT(Tabla1[[#This Row],[Fecha]],"DD")</f>
        <v>14</v>
      </c>
      <c r="M34" t="str">
        <f>TEXT(Tabla1[[#This Row],[Fecha]],"yyyy")</f>
        <v>2024</v>
      </c>
      <c r="N34">
        <f>MONTH(Tabla1[[#This Row],[Fecha]])</f>
        <v>2</v>
      </c>
      <c r="O34" s="2" t="str">
        <f t="shared" si="1"/>
        <v>T1-24</v>
      </c>
    </row>
    <row r="35" spans="1:15" x14ac:dyDescent="0.25">
      <c r="A35" s="8">
        <v>34</v>
      </c>
      <c r="B35" t="s">
        <v>76</v>
      </c>
      <c r="C35" t="s">
        <v>10</v>
      </c>
      <c r="D35" t="s">
        <v>11</v>
      </c>
      <c r="E35" t="s">
        <v>50</v>
      </c>
      <c r="F35" t="s">
        <v>33</v>
      </c>
      <c r="G35" t="s">
        <v>24</v>
      </c>
      <c r="H35">
        <v>4</v>
      </c>
      <c r="I35" s="2">
        <v>3780</v>
      </c>
      <c r="J35">
        <f t="shared" si="0"/>
        <v>15120</v>
      </c>
      <c r="K35" t="str">
        <f>TEXT(Tabla1[[#This Row],[Fecha]],"MMMM")</f>
        <v>October</v>
      </c>
      <c r="L35" t="str">
        <f>TEXT(Tabla1[[#This Row],[Fecha]],"DD")</f>
        <v>19</v>
      </c>
      <c r="M35" t="str">
        <f>TEXT(Tabla1[[#This Row],[Fecha]],"yyyy")</f>
        <v>2024</v>
      </c>
      <c r="N35">
        <f>MONTH(Tabla1[[#This Row],[Fecha]])</f>
        <v>10</v>
      </c>
      <c r="O35" s="2" t="str">
        <f t="shared" si="1"/>
        <v>T4-24</v>
      </c>
    </row>
    <row r="36" spans="1:15" x14ac:dyDescent="0.25">
      <c r="A36" s="8">
        <v>35</v>
      </c>
      <c r="B36" t="s">
        <v>77</v>
      </c>
      <c r="C36" t="s">
        <v>66</v>
      </c>
      <c r="D36" t="s">
        <v>17</v>
      </c>
      <c r="E36" t="s">
        <v>50</v>
      </c>
      <c r="F36" t="s">
        <v>18</v>
      </c>
      <c r="G36" t="s">
        <v>24</v>
      </c>
      <c r="H36">
        <v>1</v>
      </c>
      <c r="I36" s="2">
        <v>1694</v>
      </c>
      <c r="J36">
        <f t="shared" si="0"/>
        <v>1694</v>
      </c>
      <c r="K36" t="str">
        <f>TEXT(Tabla1[[#This Row],[Fecha]],"MMMM")</f>
        <v>September</v>
      </c>
      <c r="L36" t="str">
        <f>TEXT(Tabla1[[#This Row],[Fecha]],"DD")</f>
        <v>08</v>
      </c>
      <c r="M36" t="str">
        <f>TEXT(Tabla1[[#This Row],[Fecha]],"yyyy")</f>
        <v>2023</v>
      </c>
      <c r="N36">
        <f>MONTH(Tabla1[[#This Row],[Fecha]])</f>
        <v>9</v>
      </c>
      <c r="O36" s="2" t="str">
        <f t="shared" si="1"/>
        <v>T3-23</v>
      </c>
    </row>
    <row r="37" spans="1:15" x14ac:dyDescent="0.25">
      <c r="A37" s="8">
        <v>36</v>
      </c>
      <c r="B37" t="s">
        <v>78</v>
      </c>
      <c r="C37" t="s">
        <v>66</v>
      </c>
      <c r="D37" t="s">
        <v>17</v>
      </c>
      <c r="E37" t="s">
        <v>61</v>
      </c>
      <c r="F37" t="s">
        <v>35</v>
      </c>
      <c r="G37" t="s">
        <v>14</v>
      </c>
      <c r="H37">
        <v>20</v>
      </c>
      <c r="I37" s="2">
        <v>1668</v>
      </c>
      <c r="J37">
        <f t="shared" si="0"/>
        <v>33360</v>
      </c>
      <c r="K37" t="str">
        <f>TEXT(Tabla1[[#This Row],[Fecha]],"MMMM")</f>
        <v>April</v>
      </c>
      <c r="L37" t="str">
        <f>TEXT(Tabla1[[#This Row],[Fecha]],"DD")</f>
        <v>15</v>
      </c>
      <c r="M37" t="str">
        <f>TEXT(Tabla1[[#This Row],[Fecha]],"yyyy")</f>
        <v>2025</v>
      </c>
      <c r="N37">
        <f>MONTH(Tabla1[[#This Row],[Fecha]])</f>
        <v>4</v>
      </c>
      <c r="O37" s="2" t="str">
        <f t="shared" si="1"/>
        <v>T2-25</v>
      </c>
    </row>
    <row r="38" spans="1:15" x14ac:dyDescent="0.25">
      <c r="A38" s="8">
        <v>37</v>
      </c>
      <c r="B38" t="s">
        <v>79</v>
      </c>
      <c r="C38" t="s">
        <v>10</v>
      </c>
      <c r="D38" t="s">
        <v>11</v>
      </c>
      <c r="E38" t="s">
        <v>58</v>
      </c>
      <c r="F38" t="s">
        <v>28</v>
      </c>
      <c r="G38" t="s">
        <v>24</v>
      </c>
      <c r="H38">
        <v>21</v>
      </c>
      <c r="I38" s="2">
        <v>3283</v>
      </c>
      <c r="J38">
        <f t="shared" si="0"/>
        <v>68943</v>
      </c>
      <c r="K38" t="str">
        <f>TEXT(Tabla1[[#This Row],[Fecha]],"MMMM")</f>
        <v>July</v>
      </c>
      <c r="L38" t="str">
        <f>TEXT(Tabla1[[#This Row],[Fecha]],"DD")</f>
        <v>14</v>
      </c>
      <c r="M38" t="str">
        <f>TEXT(Tabla1[[#This Row],[Fecha]],"yyyy")</f>
        <v>2023</v>
      </c>
      <c r="N38">
        <f>MONTH(Tabla1[[#This Row],[Fecha]])</f>
        <v>7</v>
      </c>
      <c r="O38" s="2" t="str">
        <f t="shared" si="1"/>
        <v>T3-23</v>
      </c>
    </row>
    <row r="39" spans="1:15" x14ac:dyDescent="0.25">
      <c r="A39" s="8">
        <v>38</v>
      </c>
      <c r="B39" t="s">
        <v>80</v>
      </c>
      <c r="C39" t="s">
        <v>69</v>
      </c>
      <c r="D39" t="s">
        <v>17</v>
      </c>
      <c r="E39" t="s">
        <v>41</v>
      </c>
      <c r="F39" t="s">
        <v>23</v>
      </c>
      <c r="G39" t="s">
        <v>24</v>
      </c>
      <c r="H39">
        <v>16</v>
      </c>
      <c r="I39" s="2">
        <v>922</v>
      </c>
      <c r="J39">
        <f t="shared" si="0"/>
        <v>14752</v>
      </c>
      <c r="K39" t="str">
        <f>TEXT(Tabla1[[#This Row],[Fecha]],"MMMM")</f>
        <v>November</v>
      </c>
      <c r="L39" t="str">
        <f>TEXT(Tabla1[[#This Row],[Fecha]],"DD")</f>
        <v>09</v>
      </c>
      <c r="M39" t="str">
        <f>TEXT(Tabla1[[#This Row],[Fecha]],"yyyy")</f>
        <v>2025</v>
      </c>
      <c r="N39">
        <f>MONTH(Tabla1[[#This Row],[Fecha]])</f>
        <v>11</v>
      </c>
      <c r="O39" s="2" t="str">
        <f t="shared" si="1"/>
        <v>T4-25</v>
      </c>
    </row>
    <row r="40" spans="1:15" x14ac:dyDescent="0.25">
      <c r="A40" s="8">
        <v>39</v>
      </c>
      <c r="B40" t="s">
        <v>81</v>
      </c>
      <c r="C40" t="s">
        <v>16</v>
      </c>
      <c r="D40" t="s">
        <v>17</v>
      </c>
      <c r="E40" t="s">
        <v>22</v>
      </c>
      <c r="F40" t="s">
        <v>28</v>
      </c>
      <c r="G40" t="s">
        <v>24</v>
      </c>
      <c r="H40">
        <v>4</v>
      </c>
      <c r="I40" s="2">
        <v>178</v>
      </c>
      <c r="J40">
        <f t="shared" si="0"/>
        <v>712</v>
      </c>
      <c r="K40" t="str">
        <f>TEXT(Tabla1[[#This Row],[Fecha]],"MMMM")</f>
        <v>March</v>
      </c>
      <c r="L40" t="str">
        <f>TEXT(Tabla1[[#This Row],[Fecha]],"DD")</f>
        <v>15</v>
      </c>
      <c r="M40" t="str">
        <f>TEXT(Tabla1[[#This Row],[Fecha]],"yyyy")</f>
        <v>2024</v>
      </c>
      <c r="N40">
        <f>MONTH(Tabla1[[#This Row],[Fecha]])</f>
        <v>3</v>
      </c>
      <c r="O40" s="2" t="str">
        <f t="shared" si="1"/>
        <v>T1-24</v>
      </c>
    </row>
    <row r="41" spans="1:15" x14ac:dyDescent="0.25">
      <c r="A41" s="8">
        <v>40</v>
      </c>
      <c r="B41" t="s">
        <v>82</v>
      </c>
      <c r="C41" t="s">
        <v>26</v>
      </c>
      <c r="D41" t="s">
        <v>27</v>
      </c>
      <c r="E41" t="s">
        <v>44</v>
      </c>
      <c r="F41" t="s">
        <v>42</v>
      </c>
      <c r="G41" t="s">
        <v>14</v>
      </c>
      <c r="H41">
        <v>11</v>
      </c>
      <c r="I41" s="2">
        <v>672</v>
      </c>
      <c r="J41">
        <f t="shared" si="0"/>
        <v>7392</v>
      </c>
      <c r="K41" t="str">
        <f>TEXT(Tabla1[[#This Row],[Fecha]],"MMMM")</f>
        <v>November</v>
      </c>
      <c r="L41" t="str">
        <f>TEXT(Tabla1[[#This Row],[Fecha]],"DD")</f>
        <v>02</v>
      </c>
      <c r="M41" t="str">
        <f>TEXT(Tabla1[[#This Row],[Fecha]],"yyyy")</f>
        <v>2025</v>
      </c>
      <c r="N41">
        <f>MONTH(Tabla1[[#This Row],[Fecha]])</f>
        <v>11</v>
      </c>
      <c r="O41" s="2" t="str">
        <f t="shared" si="1"/>
        <v>T4-25</v>
      </c>
    </row>
    <row r="42" spans="1:15" x14ac:dyDescent="0.25">
      <c r="A42" s="8">
        <v>41</v>
      </c>
      <c r="B42" t="s">
        <v>83</v>
      </c>
      <c r="C42" t="s">
        <v>49</v>
      </c>
      <c r="D42" t="s">
        <v>21</v>
      </c>
      <c r="E42" t="s">
        <v>44</v>
      </c>
      <c r="F42" t="s">
        <v>42</v>
      </c>
      <c r="G42" t="s">
        <v>24</v>
      </c>
      <c r="H42">
        <v>9</v>
      </c>
      <c r="I42" s="2">
        <v>1454</v>
      </c>
      <c r="J42">
        <f t="shared" si="0"/>
        <v>13086</v>
      </c>
      <c r="K42" t="str">
        <f>TEXT(Tabla1[[#This Row],[Fecha]],"MMMM")</f>
        <v>November</v>
      </c>
      <c r="L42" t="str">
        <f>TEXT(Tabla1[[#This Row],[Fecha]],"DD")</f>
        <v>01</v>
      </c>
      <c r="M42" t="str">
        <f>TEXT(Tabla1[[#This Row],[Fecha]],"yyyy")</f>
        <v>2023</v>
      </c>
      <c r="N42">
        <f>MONTH(Tabla1[[#This Row],[Fecha]])</f>
        <v>11</v>
      </c>
      <c r="O42" s="2" t="str">
        <f t="shared" si="1"/>
        <v>T4-23</v>
      </c>
    </row>
    <row r="43" spans="1:15" x14ac:dyDescent="0.25">
      <c r="A43" s="8">
        <v>42</v>
      </c>
      <c r="B43" t="s">
        <v>84</v>
      </c>
      <c r="C43" t="s">
        <v>26</v>
      </c>
      <c r="D43" t="s">
        <v>27</v>
      </c>
      <c r="E43" t="s">
        <v>44</v>
      </c>
      <c r="F43" t="s">
        <v>35</v>
      </c>
      <c r="G43" t="s">
        <v>24</v>
      </c>
      <c r="H43">
        <v>18</v>
      </c>
      <c r="I43" s="2">
        <v>358</v>
      </c>
      <c r="J43">
        <f t="shared" si="0"/>
        <v>6444</v>
      </c>
      <c r="K43" t="str">
        <f>TEXT(Tabla1[[#This Row],[Fecha]],"MMMM")</f>
        <v>June</v>
      </c>
      <c r="L43" t="str">
        <f>TEXT(Tabla1[[#This Row],[Fecha]],"DD")</f>
        <v>09</v>
      </c>
      <c r="M43" t="str">
        <f>TEXT(Tabla1[[#This Row],[Fecha]],"yyyy")</f>
        <v>2024</v>
      </c>
      <c r="N43">
        <f>MONTH(Tabla1[[#This Row],[Fecha]])</f>
        <v>6</v>
      </c>
      <c r="O43" s="2" t="str">
        <f t="shared" si="1"/>
        <v>T2-24</v>
      </c>
    </row>
    <row r="44" spans="1:15" x14ac:dyDescent="0.25">
      <c r="A44" s="8">
        <v>43</v>
      </c>
      <c r="B44" t="s">
        <v>85</v>
      </c>
      <c r="C44" t="s">
        <v>20</v>
      </c>
      <c r="D44" t="s">
        <v>21</v>
      </c>
      <c r="E44" t="s">
        <v>22</v>
      </c>
      <c r="F44" t="s">
        <v>23</v>
      </c>
      <c r="G44" t="s">
        <v>14</v>
      </c>
      <c r="H44">
        <v>5</v>
      </c>
      <c r="I44" s="2">
        <v>376</v>
      </c>
      <c r="J44">
        <f t="shared" si="0"/>
        <v>1880</v>
      </c>
      <c r="K44" t="str">
        <f>TEXT(Tabla1[[#This Row],[Fecha]],"MMMM")</f>
        <v>March</v>
      </c>
      <c r="L44" t="str">
        <f>TEXT(Tabla1[[#This Row],[Fecha]],"DD")</f>
        <v>04</v>
      </c>
      <c r="M44" t="str">
        <f>TEXT(Tabla1[[#This Row],[Fecha]],"yyyy")</f>
        <v>2025</v>
      </c>
      <c r="N44">
        <f>MONTH(Tabla1[[#This Row],[Fecha]])</f>
        <v>3</v>
      </c>
      <c r="O44" s="2" t="str">
        <f t="shared" si="1"/>
        <v>T1-25</v>
      </c>
    </row>
    <row r="45" spans="1:15" x14ac:dyDescent="0.25">
      <c r="A45" s="8">
        <v>44</v>
      </c>
      <c r="B45" t="s">
        <v>86</v>
      </c>
      <c r="C45" t="s">
        <v>46</v>
      </c>
      <c r="D45" t="s">
        <v>38</v>
      </c>
      <c r="E45" t="s">
        <v>52</v>
      </c>
      <c r="F45" t="s">
        <v>42</v>
      </c>
      <c r="G45" t="s">
        <v>24</v>
      </c>
      <c r="H45">
        <v>24</v>
      </c>
      <c r="I45" s="2">
        <v>1981</v>
      </c>
      <c r="J45">
        <f t="shared" si="0"/>
        <v>47544</v>
      </c>
      <c r="K45" t="str">
        <f>TEXT(Tabla1[[#This Row],[Fecha]],"MMMM")</f>
        <v>May</v>
      </c>
      <c r="L45" t="str">
        <f>TEXT(Tabla1[[#This Row],[Fecha]],"DD")</f>
        <v>19</v>
      </c>
      <c r="M45" t="str">
        <f>TEXT(Tabla1[[#This Row],[Fecha]],"yyyy")</f>
        <v>2023</v>
      </c>
      <c r="N45">
        <f>MONTH(Tabla1[[#This Row],[Fecha]])</f>
        <v>5</v>
      </c>
      <c r="O45" s="2" t="str">
        <f t="shared" si="1"/>
        <v>T2-23</v>
      </c>
    </row>
    <row r="46" spans="1:15" x14ac:dyDescent="0.25">
      <c r="A46" s="8">
        <v>45</v>
      </c>
      <c r="B46" t="s">
        <v>87</v>
      </c>
      <c r="C46" t="s">
        <v>66</v>
      </c>
      <c r="D46" t="s">
        <v>17</v>
      </c>
      <c r="E46" t="s">
        <v>72</v>
      </c>
      <c r="F46" t="s">
        <v>18</v>
      </c>
      <c r="G46" t="s">
        <v>14</v>
      </c>
      <c r="H46">
        <v>3</v>
      </c>
      <c r="I46" s="2">
        <v>282</v>
      </c>
      <c r="J46">
        <f t="shared" si="0"/>
        <v>846</v>
      </c>
      <c r="K46" t="str">
        <f>TEXT(Tabla1[[#This Row],[Fecha]],"MMMM")</f>
        <v>September</v>
      </c>
      <c r="L46" t="str">
        <f>TEXT(Tabla1[[#This Row],[Fecha]],"DD")</f>
        <v>15</v>
      </c>
      <c r="M46" t="str">
        <f>TEXT(Tabla1[[#This Row],[Fecha]],"yyyy")</f>
        <v>2023</v>
      </c>
      <c r="N46">
        <f>MONTH(Tabla1[[#This Row],[Fecha]])</f>
        <v>9</v>
      </c>
      <c r="O46" s="2" t="str">
        <f t="shared" si="1"/>
        <v>T3-23</v>
      </c>
    </row>
    <row r="47" spans="1:15" x14ac:dyDescent="0.25">
      <c r="A47" s="8">
        <v>46</v>
      </c>
      <c r="B47" t="s">
        <v>88</v>
      </c>
      <c r="C47" t="s">
        <v>20</v>
      </c>
      <c r="D47" t="s">
        <v>21</v>
      </c>
      <c r="E47" t="s">
        <v>72</v>
      </c>
      <c r="F47" t="s">
        <v>35</v>
      </c>
      <c r="G47" t="s">
        <v>24</v>
      </c>
      <c r="H47">
        <v>13</v>
      </c>
      <c r="I47" s="2">
        <v>1879</v>
      </c>
      <c r="J47">
        <f t="shared" si="0"/>
        <v>24427</v>
      </c>
      <c r="K47" t="str">
        <f>TEXT(Tabla1[[#This Row],[Fecha]],"MMMM")</f>
        <v>December</v>
      </c>
      <c r="L47" t="str">
        <f>TEXT(Tabla1[[#This Row],[Fecha]],"DD")</f>
        <v>19</v>
      </c>
      <c r="M47" t="str">
        <f>TEXT(Tabla1[[#This Row],[Fecha]],"yyyy")</f>
        <v>2024</v>
      </c>
      <c r="N47">
        <f>MONTH(Tabla1[[#This Row],[Fecha]])</f>
        <v>12</v>
      </c>
      <c r="O47" s="2" t="str">
        <f t="shared" si="1"/>
        <v>T4-24</v>
      </c>
    </row>
    <row r="48" spans="1:15" x14ac:dyDescent="0.25">
      <c r="A48" s="8">
        <v>47</v>
      </c>
      <c r="B48" t="s">
        <v>89</v>
      </c>
      <c r="C48" t="s">
        <v>49</v>
      </c>
      <c r="D48" t="s">
        <v>21</v>
      </c>
      <c r="E48" t="s">
        <v>50</v>
      </c>
      <c r="F48" t="s">
        <v>23</v>
      </c>
      <c r="G48" t="s">
        <v>24</v>
      </c>
      <c r="H48">
        <v>14</v>
      </c>
      <c r="I48" s="2">
        <v>1748</v>
      </c>
      <c r="J48">
        <f t="shared" si="0"/>
        <v>24472</v>
      </c>
      <c r="K48" t="str">
        <f>TEXT(Tabla1[[#This Row],[Fecha]],"MMMM")</f>
        <v>December</v>
      </c>
      <c r="L48" t="str">
        <f>TEXT(Tabla1[[#This Row],[Fecha]],"DD")</f>
        <v>31</v>
      </c>
      <c r="M48" t="str">
        <f>TEXT(Tabla1[[#This Row],[Fecha]],"yyyy")</f>
        <v>2025</v>
      </c>
      <c r="N48">
        <f>MONTH(Tabla1[[#This Row],[Fecha]])</f>
        <v>12</v>
      </c>
      <c r="O48" s="2" t="str">
        <f t="shared" si="1"/>
        <v>T4-25</v>
      </c>
    </row>
    <row r="49" spans="1:15" x14ac:dyDescent="0.25">
      <c r="A49" s="8">
        <v>48</v>
      </c>
      <c r="B49" t="s">
        <v>90</v>
      </c>
      <c r="C49" t="s">
        <v>37</v>
      </c>
      <c r="D49" t="s">
        <v>38</v>
      </c>
      <c r="E49" t="s">
        <v>12</v>
      </c>
      <c r="F49" t="s">
        <v>33</v>
      </c>
      <c r="G49" t="s">
        <v>14</v>
      </c>
      <c r="H49">
        <v>11</v>
      </c>
      <c r="I49" s="2">
        <v>2574</v>
      </c>
      <c r="J49">
        <f t="shared" si="0"/>
        <v>28314</v>
      </c>
      <c r="K49" t="str">
        <f>TEXT(Tabla1[[#This Row],[Fecha]],"MMMM")</f>
        <v>April</v>
      </c>
      <c r="L49" t="str">
        <f>TEXT(Tabla1[[#This Row],[Fecha]],"DD")</f>
        <v>20</v>
      </c>
      <c r="M49" t="str">
        <f>TEXT(Tabla1[[#This Row],[Fecha]],"yyyy")</f>
        <v>2025</v>
      </c>
      <c r="N49">
        <f>MONTH(Tabla1[[#This Row],[Fecha]])</f>
        <v>4</v>
      </c>
      <c r="O49" s="2" t="str">
        <f t="shared" si="1"/>
        <v>T2-25</v>
      </c>
    </row>
    <row r="50" spans="1:15" x14ac:dyDescent="0.25">
      <c r="A50" s="8">
        <v>49</v>
      </c>
      <c r="B50" t="s">
        <v>91</v>
      </c>
      <c r="C50" t="s">
        <v>30</v>
      </c>
      <c r="D50" t="s">
        <v>17</v>
      </c>
      <c r="E50" t="s">
        <v>61</v>
      </c>
      <c r="F50" t="s">
        <v>42</v>
      </c>
      <c r="G50" t="s">
        <v>24</v>
      </c>
      <c r="H50">
        <v>19</v>
      </c>
      <c r="I50" s="2">
        <v>4676</v>
      </c>
      <c r="J50">
        <f t="shared" si="0"/>
        <v>88844</v>
      </c>
      <c r="K50" t="str">
        <f>TEXT(Tabla1[[#This Row],[Fecha]],"MMMM")</f>
        <v>September</v>
      </c>
      <c r="L50" t="str">
        <f>TEXT(Tabla1[[#This Row],[Fecha]],"DD")</f>
        <v>18</v>
      </c>
      <c r="M50" t="str">
        <f>TEXT(Tabla1[[#This Row],[Fecha]],"yyyy")</f>
        <v>2025</v>
      </c>
      <c r="N50">
        <f>MONTH(Tabla1[[#This Row],[Fecha]])</f>
        <v>9</v>
      </c>
      <c r="O50" s="2" t="str">
        <f t="shared" si="1"/>
        <v>T3-25</v>
      </c>
    </row>
    <row r="51" spans="1:15" x14ac:dyDescent="0.25">
      <c r="A51" s="8">
        <v>50</v>
      </c>
      <c r="B51" t="s">
        <v>92</v>
      </c>
      <c r="C51" t="s">
        <v>66</v>
      </c>
      <c r="D51" t="s">
        <v>17</v>
      </c>
      <c r="E51" t="s">
        <v>52</v>
      </c>
      <c r="F51" t="s">
        <v>42</v>
      </c>
      <c r="G51" t="s">
        <v>14</v>
      </c>
      <c r="H51">
        <v>16</v>
      </c>
      <c r="I51" s="2">
        <v>1269</v>
      </c>
      <c r="J51">
        <f t="shared" si="0"/>
        <v>20304</v>
      </c>
      <c r="K51" t="str">
        <f>TEXT(Tabla1[[#This Row],[Fecha]],"MMMM")</f>
        <v>January</v>
      </c>
      <c r="L51" t="str">
        <f>TEXT(Tabla1[[#This Row],[Fecha]],"DD")</f>
        <v>09</v>
      </c>
      <c r="M51" t="str">
        <f>TEXT(Tabla1[[#This Row],[Fecha]],"yyyy")</f>
        <v>2023</v>
      </c>
      <c r="N51">
        <f>MONTH(Tabla1[[#This Row],[Fecha]])</f>
        <v>1</v>
      </c>
      <c r="O51" s="2" t="str">
        <f t="shared" si="1"/>
        <v>T1-23</v>
      </c>
    </row>
    <row r="52" spans="1:15" x14ac:dyDescent="0.25">
      <c r="A52" s="8">
        <v>51</v>
      </c>
      <c r="B52" t="s">
        <v>93</v>
      </c>
      <c r="C52" t="s">
        <v>69</v>
      </c>
      <c r="D52" t="s">
        <v>17</v>
      </c>
      <c r="E52" t="s">
        <v>61</v>
      </c>
      <c r="F52" t="s">
        <v>23</v>
      </c>
      <c r="G52" t="s">
        <v>24</v>
      </c>
      <c r="H52">
        <v>14</v>
      </c>
      <c r="I52" s="2">
        <v>3238</v>
      </c>
      <c r="J52">
        <f t="shared" si="0"/>
        <v>45332</v>
      </c>
      <c r="K52" t="str">
        <f>TEXT(Tabla1[[#This Row],[Fecha]],"MMMM")</f>
        <v>March</v>
      </c>
      <c r="L52" t="str">
        <f>TEXT(Tabla1[[#This Row],[Fecha]],"DD")</f>
        <v>12</v>
      </c>
      <c r="M52" t="str">
        <f>TEXT(Tabla1[[#This Row],[Fecha]],"yyyy")</f>
        <v>2024</v>
      </c>
      <c r="N52">
        <f>MONTH(Tabla1[[#This Row],[Fecha]])</f>
        <v>3</v>
      </c>
      <c r="O52" s="2" t="str">
        <f t="shared" si="1"/>
        <v>T1-24</v>
      </c>
    </row>
    <row r="53" spans="1:15" x14ac:dyDescent="0.25">
      <c r="A53" s="8">
        <v>52</v>
      </c>
      <c r="B53" t="s">
        <v>94</v>
      </c>
      <c r="C53" t="s">
        <v>49</v>
      </c>
      <c r="D53" t="s">
        <v>21</v>
      </c>
      <c r="E53" t="s">
        <v>41</v>
      </c>
      <c r="F53" t="s">
        <v>35</v>
      </c>
      <c r="G53" t="s">
        <v>24</v>
      </c>
      <c r="H53">
        <v>2</v>
      </c>
      <c r="I53" s="2">
        <v>2181</v>
      </c>
      <c r="J53">
        <f t="shared" si="0"/>
        <v>4362</v>
      </c>
      <c r="K53" t="str">
        <f>TEXT(Tabla1[[#This Row],[Fecha]],"MMMM")</f>
        <v>March</v>
      </c>
      <c r="L53" t="str">
        <f>TEXT(Tabla1[[#This Row],[Fecha]],"DD")</f>
        <v>08</v>
      </c>
      <c r="M53" t="str">
        <f>TEXT(Tabla1[[#This Row],[Fecha]],"yyyy")</f>
        <v>2025</v>
      </c>
      <c r="N53">
        <f>MONTH(Tabla1[[#This Row],[Fecha]])</f>
        <v>3</v>
      </c>
      <c r="O53" s="2" t="str">
        <f t="shared" si="1"/>
        <v>T1-25</v>
      </c>
    </row>
    <row r="54" spans="1:15" x14ac:dyDescent="0.25">
      <c r="A54" s="8">
        <v>53</v>
      </c>
      <c r="B54" t="s">
        <v>95</v>
      </c>
      <c r="C54" t="s">
        <v>10</v>
      </c>
      <c r="D54" t="s">
        <v>11</v>
      </c>
      <c r="E54" t="s">
        <v>50</v>
      </c>
      <c r="F54" t="s">
        <v>35</v>
      </c>
      <c r="G54" t="s">
        <v>14</v>
      </c>
      <c r="H54">
        <v>24</v>
      </c>
      <c r="I54" s="2">
        <v>4375</v>
      </c>
      <c r="J54">
        <f t="shared" si="0"/>
        <v>105000</v>
      </c>
      <c r="K54" t="str">
        <f>TEXT(Tabla1[[#This Row],[Fecha]],"MMMM")</f>
        <v>October</v>
      </c>
      <c r="L54" t="str">
        <f>TEXT(Tabla1[[#This Row],[Fecha]],"DD")</f>
        <v>20</v>
      </c>
      <c r="M54" t="str">
        <f>TEXT(Tabla1[[#This Row],[Fecha]],"yyyy")</f>
        <v>2024</v>
      </c>
      <c r="N54">
        <f>MONTH(Tabla1[[#This Row],[Fecha]])</f>
        <v>10</v>
      </c>
      <c r="O54" s="2" t="str">
        <f t="shared" si="1"/>
        <v>T4-24</v>
      </c>
    </row>
    <row r="55" spans="1:15" x14ac:dyDescent="0.25">
      <c r="A55" s="8">
        <v>54</v>
      </c>
      <c r="B55" t="s">
        <v>84</v>
      </c>
      <c r="C55" t="s">
        <v>46</v>
      </c>
      <c r="D55" t="s">
        <v>38</v>
      </c>
      <c r="E55" t="s">
        <v>50</v>
      </c>
      <c r="F55" t="s">
        <v>33</v>
      </c>
      <c r="G55" t="s">
        <v>24</v>
      </c>
      <c r="H55">
        <v>20</v>
      </c>
      <c r="I55" s="2">
        <v>1685</v>
      </c>
      <c r="J55">
        <f t="shared" si="0"/>
        <v>33700</v>
      </c>
      <c r="K55" t="str">
        <f>TEXT(Tabla1[[#This Row],[Fecha]],"MMMM")</f>
        <v>June</v>
      </c>
      <c r="L55" t="str">
        <f>TEXT(Tabla1[[#This Row],[Fecha]],"DD")</f>
        <v>09</v>
      </c>
      <c r="M55" t="str">
        <f>TEXT(Tabla1[[#This Row],[Fecha]],"yyyy")</f>
        <v>2024</v>
      </c>
      <c r="N55">
        <f>MONTH(Tabla1[[#This Row],[Fecha]])</f>
        <v>6</v>
      </c>
      <c r="O55" s="2" t="str">
        <f t="shared" si="1"/>
        <v>T2-24</v>
      </c>
    </row>
    <row r="56" spans="1:15" x14ac:dyDescent="0.25">
      <c r="A56" s="8">
        <v>55</v>
      </c>
      <c r="B56" t="s">
        <v>96</v>
      </c>
      <c r="C56" t="s">
        <v>10</v>
      </c>
      <c r="D56" t="s">
        <v>11</v>
      </c>
      <c r="E56" t="s">
        <v>22</v>
      </c>
      <c r="F56" t="s">
        <v>23</v>
      </c>
      <c r="G56" t="s">
        <v>14</v>
      </c>
      <c r="H56">
        <v>1</v>
      </c>
      <c r="I56" s="2">
        <v>3686</v>
      </c>
      <c r="J56">
        <f t="shared" si="0"/>
        <v>3686</v>
      </c>
      <c r="K56" t="str">
        <f>TEXT(Tabla1[[#This Row],[Fecha]],"MMMM")</f>
        <v>June</v>
      </c>
      <c r="L56" t="str">
        <f>TEXT(Tabla1[[#This Row],[Fecha]],"DD")</f>
        <v>12</v>
      </c>
      <c r="M56" t="str">
        <f>TEXT(Tabla1[[#This Row],[Fecha]],"yyyy")</f>
        <v>2025</v>
      </c>
      <c r="N56">
        <f>MONTH(Tabla1[[#This Row],[Fecha]])</f>
        <v>6</v>
      </c>
      <c r="O56" s="2" t="str">
        <f t="shared" si="1"/>
        <v>T2-25</v>
      </c>
    </row>
    <row r="57" spans="1:15" x14ac:dyDescent="0.25">
      <c r="A57" s="8">
        <v>56</v>
      </c>
      <c r="B57" t="s">
        <v>97</v>
      </c>
      <c r="C57" t="s">
        <v>66</v>
      </c>
      <c r="D57" t="s">
        <v>17</v>
      </c>
      <c r="E57" t="s">
        <v>50</v>
      </c>
      <c r="F57" t="s">
        <v>35</v>
      </c>
      <c r="G57" t="s">
        <v>24</v>
      </c>
      <c r="H57">
        <v>24</v>
      </c>
      <c r="I57" s="2">
        <v>4202</v>
      </c>
      <c r="J57">
        <f t="shared" si="0"/>
        <v>100848</v>
      </c>
      <c r="K57" t="str">
        <f>TEXT(Tabla1[[#This Row],[Fecha]],"MMMM")</f>
        <v>July</v>
      </c>
      <c r="L57" t="str">
        <f>TEXT(Tabla1[[#This Row],[Fecha]],"DD")</f>
        <v>15</v>
      </c>
      <c r="M57" t="str">
        <f>TEXT(Tabla1[[#This Row],[Fecha]],"yyyy")</f>
        <v>2025</v>
      </c>
      <c r="N57">
        <f>MONTH(Tabla1[[#This Row],[Fecha]])</f>
        <v>7</v>
      </c>
      <c r="O57" s="2" t="str">
        <f t="shared" si="1"/>
        <v>T3-25</v>
      </c>
    </row>
    <row r="58" spans="1:15" x14ac:dyDescent="0.25">
      <c r="A58" s="8">
        <v>57</v>
      </c>
      <c r="B58" t="s">
        <v>98</v>
      </c>
      <c r="C58" t="s">
        <v>37</v>
      </c>
      <c r="D58" t="s">
        <v>38</v>
      </c>
      <c r="E58" t="s">
        <v>52</v>
      </c>
      <c r="F58" t="s">
        <v>28</v>
      </c>
      <c r="G58" t="s">
        <v>14</v>
      </c>
      <c r="H58">
        <v>10</v>
      </c>
      <c r="I58" s="2">
        <v>2713</v>
      </c>
      <c r="J58">
        <f t="shared" si="0"/>
        <v>27130</v>
      </c>
      <c r="K58" t="str">
        <f>TEXT(Tabla1[[#This Row],[Fecha]],"MMMM")</f>
        <v>May</v>
      </c>
      <c r="L58" t="str">
        <f>TEXT(Tabla1[[#This Row],[Fecha]],"DD")</f>
        <v>19</v>
      </c>
      <c r="M58" t="str">
        <f>TEXT(Tabla1[[#This Row],[Fecha]],"yyyy")</f>
        <v>2025</v>
      </c>
      <c r="N58">
        <f>MONTH(Tabla1[[#This Row],[Fecha]])</f>
        <v>5</v>
      </c>
      <c r="O58" s="2" t="str">
        <f t="shared" si="1"/>
        <v>T2-25</v>
      </c>
    </row>
    <row r="59" spans="1:15" x14ac:dyDescent="0.25">
      <c r="A59" s="8">
        <v>58</v>
      </c>
      <c r="B59" t="s">
        <v>99</v>
      </c>
      <c r="C59" t="s">
        <v>30</v>
      </c>
      <c r="D59" t="s">
        <v>17</v>
      </c>
      <c r="E59" t="s">
        <v>61</v>
      </c>
      <c r="F59" t="s">
        <v>13</v>
      </c>
      <c r="G59" t="s">
        <v>24</v>
      </c>
      <c r="H59">
        <v>10</v>
      </c>
      <c r="I59" s="2">
        <v>2209</v>
      </c>
      <c r="J59">
        <f t="shared" si="0"/>
        <v>22090</v>
      </c>
      <c r="K59" t="str">
        <f>TEXT(Tabla1[[#This Row],[Fecha]],"MMMM")</f>
        <v>April</v>
      </c>
      <c r="L59" t="str">
        <f>TEXT(Tabla1[[#This Row],[Fecha]],"DD")</f>
        <v>22</v>
      </c>
      <c r="M59" t="str">
        <f>TEXT(Tabla1[[#This Row],[Fecha]],"yyyy")</f>
        <v>2023</v>
      </c>
      <c r="N59">
        <f>MONTH(Tabla1[[#This Row],[Fecha]])</f>
        <v>4</v>
      </c>
      <c r="O59" s="2" t="str">
        <f t="shared" si="1"/>
        <v>T2-23</v>
      </c>
    </row>
    <row r="60" spans="1:15" x14ac:dyDescent="0.25">
      <c r="A60" s="8">
        <v>59</v>
      </c>
      <c r="B60" t="s">
        <v>100</v>
      </c>
      <c r="C60" t="s">
        <v>30</v>
      </c>
      <c r="D60" t="s">
        <v>17</v>
      </c>
      <c r="E60" t="s">
        <v>52</v>
      </c>
      <c r="F60" t="s">
        <v>28</v>
      </c>
      <c r="G60" t="s">
        <v>14</v>
      </c>
      <c r="H60">
        <v>13</v>
      </c>
      <c r="I60" s="2">
        <v>2381</v>
      </c>
      <c r="J60">
        <f t="shared" si="0"/>
        <v>30953</v>
      </c>
      <c r="K60" t="str">
        <f>TEXT(Tabla1[[#This Row],[Fecha]],"MMMM")</f>
        <v>October</v>
      </c>
      <c r="L60" t="str">
        <f>TEXT(Tabla1[[#This Row],[Fecha]],"DD")</f>
        <v>21</v>
      </c>
      <c r="M60" t="str">
        <f>TEXT(Tabla1[[#This Row],[Fecha]],"yyyy")</f>
        <v>2023</v>
      </c>
      <c r="N60">
        <f>MONTH(Tabla1[[#This Row],[Fecha]])</f>
        <v>10</v>
      </c>
      <c r="O60" s="2" t="str">
        <f t="shared" si="1"/>
        <v>T4-23</v>
      </c>
    </row>
    <row r="61" spans="1:15" x14ac:dyDescent="0.25">
      <c r="A61" s="8">
        <v>60</v>
      </c>
      <c r="B61" t="s">
        <v>101</v>
      </c>
      <c r="C61" t="s">
        <v>10</v>
      </c>
      <c r="D61" t="s">
        <v>11</v>
      </c>
      <c r="E61" t="s">
        <v>61</v>
      </c>
      <c r="F61" t="s">
        <v>18</v>
      </c>
      <c r="G61" t="s">
        <v>14</v>
      </c>
      <c r="H61">
        <v>15</v>
      </c>
      <c r="I61" s="2">
        <v>4392</v>
      </c>
      <c r="J61">
        <f t="shared" si="0"/>
        <v>65880</v>
      </c>
      <c r="K61" t="str">
        <f>TEXT(Tabla1[[#This Row],[Fecha]],"MMMM")</f>
        <v>November</v>
      </c>
      <c r="L61" t="str">
        <f>TEXT(Tabla1[[#This Row],[Fecha]],"DD")</f>
        <v>17</v>
      </c>
      <c r="M61" t="str">
        <f>TEXT(Tabla1[[#This Row],[Fecha]],"yyyy")</f>
        <v>2024</v>
      </c>
      <c r="N61">
        <f>MONTH(Tabla1[[#This Row],[Fecha]])</f>
        <v>11</v>
      </c>
      <c r="O61" s="2" t="str">
        <f t="shared" si="1"/>
        <v>T4-24</v>
      </c>
    </row>
    <row r="62" spans="1:15" x14ac:dyDescent="0.25">
      <c r="A62" s="8">
        <v>61</v>
      </c>
      <c r="B62" t="s">
        <v>102</v>
      </c>
      <c r="C62" t="s">
        <v>69</v>
      </c>
      <c r="D62" t="s">
        <v>17</v>
      </c>
      <c r="E62" t="s">
        <v>44</v>
      </c>
      <c r="F62" t="s">
        <v>23</v>
      </c>
      <c r="G62" t="s">
        <v>24</v>
      </c>
      <c r="H62">
        <v>4</v>
      </c>
      <c r="I62" s="2">
        <v>4544</v>
      </c>
      <c r="J62">
        <f t="shared" si="0"/>
        <v>18176</v>
      </c>
      <c r="K62" t="str">
        <f>TEXT(Tabla1[[#This Row],[Fecha]],"MMMM")</f>
        <v>April</v>
      </c>
      <c r="L62" t="str">
        <f>TEXT(Tabla1[[#This Row],[Fecha]],"DD")</f>
        <v>24</v>
      </c>
      <c r="M62" t="str">
        <f>TEXT(Tabla1[[#This Row],[Fecha]],"yyyy")</f>
        <v>2025</v>
      </c>
      <c r="N62">
        <f>MONTH(Tabla1[[#This Row],[Fecha]])</f>
        <v>4</v>
      </c>
      <c r="O62" s="2" t="str">
        <f t="shared" si="1"/>
        <v>T2-25</v>
      </c>
    </row>
    <row r="63" spans="1:15" x14ac:dyDescent="0.25">
      <c r="A63" s="8">
        <v>62</v>
      </c>
      <c r="B63" t="s">
        <v>103</v>
      </c>
      <c r="C63" t="s">
        <v>26</v>
      </c>
      <c r="D63" t="s">
        <v>27</v>
      </c>
      <c r="E63" t="s">
        <v>41</v>
      </c>
      <c r="F63" t="s">
        <v>42</v>
      </c>
      <c r="G63" t="s">
        <v>24</v>
      </c>
      <c r="H63">
        <v>7</v>
      </c>
      <c r="I63" s="2">
        <v>4114</v>
      </c>
      <c r="J63">
        <f t="shared" si="0"/>
        <v>28798</v>
      </c>
      <c r="K63" t="str">
        <f>TEXT(Tabla1[[#This Row],[Fecha]],"MMMM")</f>
        <v>October</v>
      </c>
      <c r="L63" t="str">
        <f>TEXT(Tabla1[[#This Row],[Fecha]],"DD")</f>
        <v>22</v>
      </c>
      <c r="M63" t="str">
        <f>TEXT(Tabla1[[#This Row],[Fecha]],"yyyy")</f>
        <v>2024</v>
      </c>
      <c r="N63">
        <f>MONTH(Tabla1[[#This Row],[Fecha]])</f>
        <v>10</v>
      </c>
      <c r="O63" s="2" t="str">
        <f t="shared" si="1"/>
        <v>T4-24</v>
      </c>
    </row>
    <row r="64" spans="1:15" x14ac:dyDescent="0.25">
      <c r="A64" s="8">
        <v>63</v>
      </c>
      <c r="B64" t="s">
        <v>104</v>
      </c>
      <c r="C64" t="s">
        <v>46</v>
      </c>
      <c r="D64" t="s">
        <v>38</v>
      </c>
      <c r="E64" t="s">
        <v>58</v>
      </c>
      <c r="F64" t="s">
        <v>28</v>
      </c>
      <c r="G64" t="s">
        <v>24</v>
      </c>
      <c r="H64">
        <v>19</v>
      </c>
      <c r="I64" s="2">
        <v>4639</v>
      </c>
      <c r="J64">
        <f t="shared" si="0"/>
        <v>88141</v>
      </c>
      <c r="K64" t="str">
        <f>TEXT(Tabla1[[#This Row],[Fecha]],"MMMM")</f>
        <v>March</v>
      </c>
      <c r="L64" t="str">
        <f>TEXT(Tabla1[[#This Row],[Fecha]],"DD")</f>
        <v>23</v>
      </c>
      <c r="M64" t="str">
        <f>TEXT(Tabla1[[#This Row],[Fecha]],"yyyy")</f>
        <v>2024</v>
      </c>
      <c r="N64">
        <f>MONTH(Tabla1[[#This Row],[Fecha]])</f>
        <v>3</v>
      </c>
      <c r="O64" s="2" t="str">
        <f t="shared" si="1"/>
        <v>T1-24</v>
      </c>
    </row>
    <row r="65" spans="1:15" x14ac:dyDescent="0.25">
      <c r="A65" s="8">
        <v>64</v>
      </c>
      <c r="B65" t="s">
        <v>105</v>
      </c>
      <c r="C65" t="s">
        <v>20</v>
      </c>
      <c r="D65" t="s">
        <v>21</v>
      </c>
      <c r="E65" t="s">
        <v>52</v>
      </c>
      <c r="F65" t="s">
        <v>28</v>
      </c>
      <c r="G65" t="s">
        <v>24</v>
      </c>
      <c r="H65">
        <v>4</v>
      </c>
      <c r="I65" s="2">
        <v>277</v>
      </c>
      <c r="J65">
        <f t="shared" si="0"/>
        <v>1108</v>
      </c>
      <c r="K65" t="str">
        <f>TEXT(Tabla1[[#This Row],[Fecha]],"MMMM")</f>
        <v>February</v>
      </c>
      <c r="L65" t="str">
        <f>TEXT(Tabla1[[#This Row],[Fecha]],"DD")</f>
        <v>11</v>
      </c>
      <c r="M65" t="str">
        <f>TEXT(Tabla1[[#This Row],[Fecha]],"yyyy")</f>
        <v>2025</v>
      </c>
      <c r="N65">
        <f>MONTH(Tabla1[[#This Row],[Fecha]])</f>
        <v>2</v>
      </c>
      <c r="O65" s="2" t="str">
        <f t="shared" si="1"/>
        <v>T1-25</v>
      </c>
    </row>
    <row r="66" spans="1:15" x14ac:dyDescent="0.25">
      <c r="A66" s="8">
        <v>65</v>
      </c>
      <c r="B66" t="s">
        <v>106</v>
      </c>
      <c r="C66" t="s">
        <v>10</v>
      </c>
      <c r="D66" t="s">
        <v>11</v>
      </c>
      <c r="E66" t="s">
        <v>58</v>
      </c>
      <c r="F66" t="s">
        <v>13</v>
      </c>
      <c r="G66" t="s">
        <v>14</v>
      </c>
      <c r="H66">
        <v>25</v>
      </c>
      <c r="I66" s="2">
        <v>3465</v>
      </c>
      <c r="J66">
        <f t="shared" ref="J66:J129" si="2">I66*H66</f>
        <v>86625</v>
      </c>
      <c r="K66" t="str">
        <f>TEXT(Tabla1[[#This Row],[Fecha]],"MMMM")</f>
        <v>June</v>
      </c>
      <c r="L66" t="str">
        <f>TEXT(Tabla1[[#This Row],[Fecha]],"DD")</f>
        <v>04</v>
      </c>
      <c r="M66" t="str">
        <f>TEXT(Tabla1[[#This Row],[Fecha]],"yyyy")</f>
        <v>2023</v>
      </c>
      <c r="N66">
        <f>MONTH(Tabla1[[#This Row],[Fecha]])</f>
        <v>6</v>
      </c>
      <c r="O66" s="2" t="str">
        <f t="shared" ref="O66:O129" si="3">"T"&amp;ROUNDUP(MONTH(B66)/3,0)&amp;"-"&amp;RIGHT(YEAR(B66),2)</f>
        <v>T2-23</v>
      </c>
    </row>
    <row r="67" spans="1:15" x14ac:dyDescent="0.25">
      <c r="A67" s="8">
        <v>66</v>
      </c>
      <c r="B67" t="s">
        <v>107</v>
      </c>
      <c r="C67" t="s">
        <v>20</v>
      </c>
      <c r="D67" t="s">
        <v>21</v>
      </c>
      <c r="E67" t="s">
        <v>41</v>
      </c>
      <c r="F67" t="s">
        <v>35</v>
      </c>
      <c r="G67" t="s">
        <v>14</v>
      </c>
      <c r="H67">
        <v>5</v>
      </c>
      <c r="I67" s="2">
        <v>3385</v>
      </c>
      <c r="J67">
        <f t="shared" si="2"/>
        <v>16925</v>
      </c>
      <c r="K67" t="str">
        <f>TEXT(Tabla1[[#This Row],[Fecha]],"MMMM")</f>
        <v>July</v>
      </c>
      <c r="L67" t="str">
        <f>TEXT(Tabla1[[#This Row],[Fecha]],"DD")</f>
        <v>27</v>
      </c>
      <c r="M67" t="str">
        <f>TEXT(Tabla1[[#This Row],[Fecha]],"yyyy")</f>
        <v>2023</v>
      </c>
      <c r="N67">
        <f>MONTH(Tabla1[[#This Row],[Fecha]])</f>
        <v>7</v>
      </c>
      <c r="O67" s="2" t="str">
        <f t="shared" si="3"/>
        <v>T3-23</v>
      </c>
    </row>
    <row r="68" spans="1:15" x14ac:dyDescent="0.25">
      <c r="A68" s="8">
        <v>67</v>
      </c>
      <c r="B68" t="s">
        <v>108</v>
      </c>
      <c r="C68" t="s">
        <v>69</v>
      </c>
      <c r="D68" t="s">
        <v>17</v>
      </c>
      <c r="E68" t="s">
        <v>52</v>
      </c>
      <c r="F68" t="s">
        <v>33</v>
      </c>
      <c r="G68" t="s">
        <v>24</v>
      </c>
      <c r="H68">
        <v>12</v>
      </c>
      <c r="I68" s="2">
        <v>538</v>
      </c>
      <c r="J68">
        <f t="shared" si="2"/>
        <v>6456</v>
      </c>
      <c r="K68" t="str">
        <f>TEXT(Tabla1[[#This Row],[Fecha]],"MMMM")</f>
        <v>October</v>
      </c>
      <c r="L68" t="str">
        <f>TEXT(Tabla1[[#This Row],[Fecha]],"DD")</f>
        <v>28</v>
      </c>
      <c r="M68" t="str">
        <f>TEXT(Tabla1[[#This Row],[Fecha]],"yyyy")</f>
        <v>2025</v>
      </c>
      <c r="N68">
        <f>MONTH(Tabla1[[#This Row],[Fecha]])</f>
        <v>10</v>
      </c>
      <c r="O68" s="2" t="str">
        <f t="shared" si="3"/>
        <v>T4-25</v>
      </c>
    </row>
    <row r="69" spans="1:15" x14ac:dyDescent="0.25">
      <c r="A69" s="8">
        <v>68</v>
      </c>
      <c r="B69" t="s">
        <v>109</v>
      </c>
      <c r="C69" t="s">
        <v>26</v>
      </c>
      <c r="D69" t="s">
        <v>27</v>
      </c>
      <c r="E69" t="s">
        <v>32</v>
      </c>
      <c r="F69" t="s">
        <v>35</v>
      </c>
      <c r="G69" t="s">
        <v>14</v>
      </c>
      <c r="H69">
        <v>15</v>
      </c>
      <c r="I69" s="2">
        <v>4641</v>
      </c>
      <c r="J69">
        <f t="shared" si="2"/>
        <v>69615</v>
      </c>
      <c r="K69" t="str">
        <f>TEXT(Tabla1[[#This Row],[Fecha]],"MMMM")</f>
        <v>December</v>
      </c>
      <c r="L69" t="str">
        <f>TEXT(Tabla1[[#This Row],[Fecha]],"DD")</f>
        <v>27</v>
      </c>
      <c r="M69" t="str">
        <f>TEXT(Tabla1[[#This Row],[Fecha]],"yyyy")</f>
        <v>2025</v>
      </c>
      <c r="N69">
        <f>MONTH(Tabla1[[#This Row],[Fecha]])</f>
        <v>12</v>
      </c>
      <c r="O69" s="2" t="str">
        <f t="shared" si="3"/>
        <v>T4-25</v>
      </c>
    </row>
    <row r="70" spans="1:15" x14ac:dyDescent="0.25">
      <c r="A70" s="8">
        <v>69</v>
      </c>
      <c r="B70" t="s">
        <v>110</v>
      </c>
      <c r="C70" t="s">
        <v>20</v>
      </c>
      <c r="D70" t="s">
        <v>21</v>
      </c>
      <c r="E70" t="s">
        <v>72</v>
      </c>
      <c r="F70" t="s">
        <v>33</v>
      </c>
      <c r="G70" t="s">
        <v>24</v>
      </c>
      <c r="H70">
        <v>16</v>
      </c>
      <c r="I70" s="2">
        <v>522</v>
      </c>
      <c r="J70">
        <f t="shared" si="2"/>
        <v>8352</v>
      </c>
      <c r="K70" t="str">
        <f>TEXT(Tabla1[[#This Row],[Fecha]],"MMMM")</f>
        <v>April</v>
      </c>
      <c r="L70" t="str">
        <f>TEXT(Tabla1[[#This Row],[Fecha]],"DD")</f>
        <v>09</v>
      </c>
      <c r="M70" t="str">
        <f>TEXT(Tabla1[[#This Row],[Fecha]],"yyyy")</f>
        <v>2025</v>
      </c>
      <c r="N70">
        <f>MONTH(Tabla1[[#This Row],[Fecha]])</f>
        <v>4</v>
      </c>
      <c r="O70" s="2" t="str">
        <f t="shared" si="3"/>
        <v>T2-25</v>
      </c>
    </row>
    <row r="71" spans="1:15" x14ac:dyDescent="0.25">
      <c r="A71" s="8">
        <v>70</v>
      </c>
      <c r="B71" t="s">
        <v>111</v>
      </c>
      <c r="C71" t="s">
        <v>37</v>
      </c>
      <c r="D71" t="s">
        <v>38</v>
      </c>
      <c r="E71" t="s">
        <v>44</v>
      </c>
      <c r="F71" t="s">
        <v>42</v>
      </c>
      <c r="G71" t="s">
        <v>24</v>
      </c>
      <c r="H71">
        <v>9</v>
      </c>
      <c r="I71" s="2">
        <v>1686</v>
      </c>
      <c r="J71">
        <f t="shared" si="2"/>
        <v>15174</v>
      </c>
      <c r="K71" t="str">
        <f>TEXT(Tabla1[[#This Row],[Fecha]],"MMMM")</f>
        <v>September</v>
      </c>
      <c r="L71" t="str">
        <f>TEXT(Tabla1[[#This Row],[Fecha]],"DD")</f>
        <v>04</v>
      </c>
      <c r="M71" t="str">
        <f>TEXT(Tabla1[[#This Row],[Fecha]],"yyyy")</f>
        <v>2023</v>
      </c>
      <c r="N71">
        <f>MONTH(Tabla1[[#This Row],[Fecha]])</f>
        <v>9</v>
      </c>
      <c r="O71" s="2" t="str">
        <f t="shared" si="3"/>
        <v>T3-23</v>
      </c>
    </row>
    <row r="72" spans="1:15" x14ac:dyDescent="0.25">
      <c r="A72" s="8">
        <v>71</v>
      </c>
      <c r="B72" t="s">
        <v>112</v>
      </c>
      <c r="C72" t="s">
        <v>46</v>
      </c>
      <c r="D72" t="s">
        <v>38</v>
      </c>
      <c r="E72" t="s">
        <v>52</v>
      </c>
      <c r="F72" t="s">
        <v>33</v>
      </c>
      <c r="G72" t="s">
        <v>14</v>
      </c>
      <c r="H72">
        <v>10</v>
      </c>
      <c r="I72" s="2">
        <v>1270</v>
      </c>
      <c r="J72">
        <f t="shared" si="2"/>
        <v>12700</v>
      </c>
      <c r="K72" t="str">
        <f>TEXT(Tabla1[[#This Row],[Fecha]],"MMMM")</f>
        <v>July</v>
      </c>
      <c r="L72" t="str">
        <f>TEXT(Tabla1[[#This Row],[Fecha]],"DD")</f>
        <v>03</v>
      </c>
      <c r="M72" t="str">
        <f>TEXT(Tabla1[[#This Row],[Fecha]],"yyyy")</f>
        <v>2025</v>
      </c>
      <c r="N72">
        <f>MONTH(Tabla1[[#This Row],[Fecha]])</f>
        <v>7</v>
      </c>
      <c r="O72" s="2" t="str">
        <f t="shared" si="3"/>
        <v>T3-25</v>
      </c>
    </row>
    <row r="73" spans="1:15" x14ac:dyDescent="0.25">
      <c r="A73" s="8">
        <v>72</v>
      </c>
      <c r="B73" t="s">
        <v>113</v>
      </c>
      <c r="C73" t="s">
        <v>10</v>
      </c>
      <c r="D73" t="s">
        <v>11</v>
      </c>
      <c r="E73" t="s">
        <v>61</v>
      </c>
      <c r="F73" t="s">
        <v>35</v>
      </c>
      <c r="G73" t="s">
        <v>24</v>
      </c>
      <c r="H73">
        <v>22</v>
      </c>
      <c r="I73" s="2">
        <v>4307</v>
      </c>
      <c r="J73">
        <f t="shared" si="2"/>
        <v>94754</v>
      </c>
      <c r="K73" t="str">
        <f>TEXT(Tabla1[[#This Row],[Fecha]],"MMMM")</f>
        <v>July</v>
      </c>
      <c r="L73" t="str">
        <f>TEXT(Tabla1[[#This Row],[Fecha]],"DD")</f>
        <v>04</v>
      </c>
      <c r="M73" t="str">
        <f>TEXT(Tabla1[[#This Row],[Fecha]],"yyyy")</f>
        <v>2024</v>
      </c>
      <c r="N73">
        <f>MONTH(Tabla1[[#This Row],[Fecha]])</f>
        <v>7</v>
      </c>
      <c r="O73" s="2" t="str">
        <f t="shared" si="3"/>
        <v>T3-24</v>
      </c>
    </row>
    <row r="74" spans="1:15" x14ac:dyDescent="0.25">
      <c r="A74" s="8">
        <v>73</v>
      </c>
      <c r="B74" t="s">
        <v>114</v>
      </c>
      <c r="C74" t="s">
        <v>30</v>
      </c>
      <c r="D74" t="s">
        <v>17</v>
      </c>
      <c r="E74" t="s">
        <v>72</v>
      </c>
      <c r="F74" t="s">
        <v>35</v>
      </c>
      <c r="G74" t="s">
        <v>24</v>
      </c>
      <c r="H74">
        <v>9</v>
      </c>
      <c r="I74" s="2">
        <v>3828</v>
      </c>
      <c r="J74">
        <f t="shared" si="2"/>
        <v>34452</v>
      </c>
      <c r="K74" t="str">
        <f>TEXT(Tabla1[[#This Row],[Fecha]],"MMMM")</f>
        <v>November</v>
      </c>
      <c r="L74" t="str">
        <f>TEXT(Tabla1[[#This Row],[Fecha]],"DD")</f>
        <v>15</v>
      </c>
      <c r="M74" t="str">
        <f>TEXT(Tabla1[[#This Row],[Fecha]],"yyyy")</f>
        <v>2025</v>
      </c>
      <c r="N74">
        <f>MONTH(Tabla1[[#This Row],[Fecha]])</f>
        <v>11</v>
      </c>
      <c r="O74" s="2" t="str">
        <f t="shared" si="3"/>
        <v>T4-25</v>
      </c>
    </row>
    <row r="75" spans="1:15" x14ac:dyDescent="0.25">
      <c r="A75" s="8">
        <v>74</v>
      </c>
      <c r="B75" t="s">
        <v>115</v>
      </c>
      <c r="C75" t="s">
        <v>10</v>
      </c>
      <c r="D75" t="s">
        <v>11</v>
      </c>
      <c r="E75" t="s">
        <v>41</v>
      </c>
      <c r="F75" t="s">
        <v>23</v>
      </c>
      <c r="G75" t="s">
        <v>14</v>
      </c>
      <c r="H75">
        <v>10</v>
      </c>
      <c r="I75" s="2">
        <v>980</v>
      </c>
      <c r="J75">
        <f t="shared" si="2"/>
        <v>9800</v>
      </c>
      <c r="K75" t="str">
        <f>TEXT(Tabla1[[#This Row],[Fecha]],"MMMM")</f>
        <v>October</v>
      </c>
      <c r="L75" t="str">
        <f>TEXT(Tabla1[[#This Row],[Fecha]],"DD")</f>
        <v>02</v>
      </c>
      <c r="M75" t="str">
        <f>TEXT(Tabla1[[#This Row],[Fecha]],"yyyy")</f>
        <v>2025</v>
      </c>
      <c r="N75">
        <f>MONTH(Tabla1[[#This Row],[Fecha]])</f>
        <v>10</v>
      </c>
      <c r="O75" s="2" t="str">
        <f t="shared" si="3"/>
        <v>T4-25</v>
      </c>
    </row>
    <row r="76" spans="1:15" x14ac:dyDescent="0.25">
      <c r="A76" s="8">
        <v>75</v>
      </c>
      <c r="B76" t="s">
        <v>116</v>
      </c>
      <c r="C76" t="s">
        <v>30</v>
      </c>
      <c r="D76" t="s">
        <v>17</v>
      </c>
      <c r="E76" t="s">
        <v>72</v>
      </c>
      <c r="F76" t="s">
        <v>33</v>
      </c>
      <c r="G76" t="s">
        <v>14</v>
      </c>
      <c r="H76">
        <v>5</v>
      </c>
      <c r="I76" s="2">
        <v>4202</v>
      </c>
      <c r="J76">
        <f t="shared" si="2"/>
        <v>21010</v>
      </c>
      <c r="K76" t="str">
        <f>TEXT(Tabla1[[#This Row],[Fecha]],"MMMM")</f>
        <v>December</v>
      </c>
      <c r="L76" t="str">
        <f>TEXT(Tabla1[[#This Row],[Fecha]],"DD")</f>
        <v>27</v>
      </c>
      <c r="M76" t="str">
        <f>TEXT(Tabla1[[#This Row],[Fecha]],"yyyy")</f>
        <v>2023</v>
      </c>
      <c r="N76">
        <f>MONTH(Tabla1[[#This Row],[Fecha]])</f>
        <v>12</v>
      </c>
      <c r="O76" s="2" t="str">
        <f t="shared" si="3"/>
        <v>T4-23</v>
      </c>
    </row>
    <row r="77" spans="1:15" x14ac:dyDescent="0.25">
      <c r="A77" s="8">
        <v>76</v>
      </c>
      <c r="B77" t="s">
        <v>117</v>
      </c>
      <c r="C77" t="s">
        <v>66</v>
      </c>
      <c r="D77" t="s">
        <v>17</v>
      </c>
      <c r="E77" t="s">
        <v>44</v>
      </c>
      <c r="F77" t="s">
        <v>42</v>
      </c>
      <c r="G77" t="s">
        <v>14</v>
      </c>
      <c r="H77">
        <v>15</v>
      </c>
      <c r="I77" s="2">
        <v>4679</v>
      </c>
      <c r="J77">
        <f t="shared" si="2"/>
        <v>70185</v>
      </c>
      <c r="K77" t="str">
        <f>TEXT(Tabla1[[#This Row],[Fecha]],"MMMM")</f>
        <v>December</v>
      </c>
      <c r="L77" t="str">
        <f>TEXT(Tabla1[[#This Row],[Fecha]],"DD")</f>
        <v>12</v>
      </c>
      <c r="M77" t="str">
        <f>TEXT(Tabla1[[#This Row],[Fecha]],"yyyy")</f>
        <v>2023</v>
      </c>
      <c r="N77">
        <f>MONTH(Tabla1[[#This Row],[Fecha]])</f>
        <v>12</v>
      </c>
      <c r="O77" s="2" t="str">
        <f t="shared" si="3"/>
        <v>T4-23</v>
      </c>
    </row>
    <row r="78" spans="1:15" x14ac:dyDescent="0.25">
      <c r="A78" s="8">
        <v>77</v>
      </c>
      <c r="B78" t="s">
        <v>118</v>
      </c>
      <c r="C78" t="s">
        <v>26</v>
      </c>
      <c r="D78" t="s">
        <v>27</v>
      </c>
      <c r="E78" t="s">
        <v>72</v>
      </c>
      <c r="F78" t="s">
        <v>35</v>
      </c>
      <c r="G78" t="s">
        <v>24</v>
      </c>
      <c r="H78">
        <v>9</v>
      </c>
      <c r="I78" s="2">
        <v>1340</v>
      </c>
      <c r="J78">
        <f t="shared" si="2"/>
        <v>12060</v>
      </c>
      <c r="K78" t="str">
        <f>TEXT(Tabla1[[#This Row],[Fecha]],"MMMM")</f>
        <v>November</v>
      </c>
      <c r="L78" t="str">
        <f>TEXT(Tabla1[[#This Row],[Fecha]],"DD")</f>
        <v>16</v>
      </c>
      <c r="M78" t="str">
        <f>TEXT(Tabla1[[#This Row],[Fecha]],"yyyy")</f>
        <v>2024</v>
      </c>
      <c r="N78">
        <f>MONTH(Tabla1[[#This Row],[Fecha]])</f>
        <v>11</v>
      </c>
      <c r="O78" s="2" t="str">
        <f t="shared" si="3"/>
        <v>T4-24</v>
      </c>
    </row>
    <row r="79" spans="1:15" x14ac:dyDescent="0.25">
      <c r="A79" s="8">
        <v>78</v>
      </c>
      <c r="B79" t="s">
        <v>119</v>
      </c>
      <c r="C79" t="s">
        <v>49</v>
      </c>
      <c r="D79" t="s">
        <v>21</v>
      </c>
      <c r="E79" t="s">
        <v>44</v>
      </c>
      <c r="F79" t="s">
        <v>23</v>
      </c>
      <c r="G79" t="s">
        <v>24</v>
      </c>
      <c r="H79">
        <v>12</v>
      </c>
      <c r="I79" s="2">
        <v>3227</v>
      </c>
      <c r="J79">
        <f t="shared" si="2"/>
        <v>38724</v>
      </c>
      <c r="K79" t="str">
        <f>TEXT(Tabla1[[#This Row],[Fecha]],"MMMM")</f>
        <v>January</v>
      </c>
      <c r="L79" t="str">
        <f>TEXT(Tabla1[[#This Row],[Fecha]],"DD")</f>
        <v>29</v>
      </c>
      <c r="M79" t="str">
        <f>TEXT(Tabla1[[#This Row],[Fecha]],"yyyy")</f>
        <v>2025</v>
      </c>
      <c r="N79">
        <f>MONTH(Tabla1[[#This Row],[Fecha]])</f>
        <v>1</v>
      </c>
      <c r="O79" s="2" t="str">
        <f t="shared" si="3"/>
        <v>T1-25</v>
      </c>
    </row>
    <row r="80" spans="1:15" x14ac:dyDescent="0.25">
      <c r="A80" s="8">
        <v>79</v>
      </c>
      <c r="B80" t="s">
        <v>120</v>
      </c>
      <c r="C80" t="s">
        <v>20</v>
      </c>
      <c r="D80" t="s">
        <v>21</v>
      </c>
      <c r="E80" t="s">
        <v>12</v>
      </c>
      <c r="F80" t="s">
        <v>33</v>
      </c>
      <c r="G80" t="s">
        <v>24</v>
      </c>
      <c r="H80">
        <v>6</v>
      </c>
      <c r="I80" s="2">
        <v>827</v>
      </c>
      <c r="J80">
        <f t="shared" si="2"/>
        <v>4962</v>
      </c>
      <c r="K80" t="str">
        <f>TEXT(Tabla1[[#This Row],[Fecha]],"MMMM")</f>
        <v>May</v>
      </c>
      <c r="L80" t="str">
        <f>TEXT(Tabla1[[#This Row],[Fecha]],"DD")</f>
        <v>17</v>
      </c>
      <c r="M80" t="str">
        <f>TEXT(Tabla1[[#This Row],[Fecha]],"yyyy")</f>
        <v>2025</v>
      </c>
      <c r="N80">
        <f>MONTH(Tabla1[[#This Row],[Fecha]])</f>
        <v>5</v>
      </c>
      <c r="O80" s="2" t="str">
        <f t="shared" si="3"/>
        <v>T2-25</v>
      </c>
    </row>
    <row r="81" spans="1:15" x14ac:dyDescent="0.25">
      <c r="A81" s="8">
        <v>80</v>
      </c>
      <c r="B81" t="s">
        <v>121</v>
      </c>
      <c r="C81" t="s">
        <v>20</v>
      </c>
      <c r="D81" t="s">
        <v>21</v>
      </c>
      <c r="E81" t="s">
        <v>72</v>
      </c>
      <c r="F81" t="s">
        <v>35</v>
      </c>
      <c r="G81" t="s">
        <v>24</v>
      </c>
      <c r="H81">
        <v>20</v>
      </c>
      <c r="I81" s="2">
        <v>4031</v>
      </c>
      <c r="J81">
        <f t="shared" si="2"/>
        <v>80620</v>
      </c>
      <c r="K81" t="str">
        <f>TEXT(Tabla1[[#This Row],[Fecha]],"MMMM")</f>
        <v>February</v>
      </c>
      <c r="L81" t="str">
        <f>TEXT(Tabla1[[#This Row],[Fecha]],"DD")</f>
        <v>15</v>
      </c>
      <c r="M81" t="str">
        <f>TEXT(Tabla1[[#This Row],[Fecha]],"yyyy")</f>
        <v>2023</v>
      </c>
      <c r="N81">
        <f>MONTH(Tabla1[[#This Row],[Fecha]])</f>
        <v>2</v>
      </c>
      <c r="O81" s="2" t="str">
        <f t="shared" si="3"/>
        <v>T1-23</v>
      </c>
    </row>
    <row r="82" spans="1:15" x14ac:dyDescent="0.25">
      <c r="A82" s="8">
        <v>81</v>
      </c>
      <c r="B82" t="s">
        <v>122</v>
      </c>
      <c r="C82" t="s">
        <v>66</v>
      </c>
      <c r="D82" t="s">
        <v>17</v>
      </c>
      <c r="E82" t="s">
        <v>72</v>
      </c>
      <c r="F82" t="s">
        <v>18</v>
      </c>
      <c r="G82" t="s">
        <v>24</v>
      </c>
      <c r="H82">
        <v>15</v>
      </c>
      <c r="I82" s="2">
        <v>4795</v>
      </c>
      <c r="J82">
        <f t="shared" si="2"/>
        <v>71925</v>
      </c>
      <c r="K82" t="str">
        <f>TEXT(Tabla1[[#This Row],[Fecha]],"MMMM")</f>
        <v>August</v>
      </c>
      <c r="L82" t="str">
        <f>TEXT(Tabla1[[#This Row],[Fecha]],"DD")</f>
        <v>10</v>
      </c>
      <c r="M82" t="str">
        <f>TEXT(Tabla1[[#This Row],[Fecha]],"yyyy")</f>
        <v>2024</v>
      </c>
      <c r="N82">
        <f>MONTH(Tabla1[[#This Row],[Fecha]])</f>
        <v>8</v>
      </c>
      <c r="O82" s="2" t="str">
        <f t="shared" si="3"/>
        <v>T3-24</v>
      </c>
    </row>
    <row r="83" spans="1:15" x14ac:dyDescent="0.25">
      <c r="A83" s="8">
        <v>82</v>
      </c>
      <c r="B83" t="s">
        <v>123</v>
      </c>
      <c r="C83" t="s">
        <v>30</v>
      </c>
      <c r="D83" t="s">
        <v>17</v>
      </c>
      <c r="E83" t="s">
        <v>52</v>
      </c>
      <c r="F83" t="s">
        <v>42</v>
      </c>
      <c r="G83" t="s">
        <v>14</v>
      </c>
      <c r="H83">
        <v>19</v>
      </c>
      <c r="I83" s="2">
        <v>3995</v>
      </c>
      <c r="J83">
        <f t="shared" si="2"/>
        <v>75905</v>
      </c>
      <c r="K83" t="str">
        <f>TEXT(Tabla1[[#This Row],[Fecha]],"MMMM")</f>
        <v>July</v>
      </c>
      <c r="L83" t="str">
        <f>TEXT(Tabla1[[#This Row],[Fecha]],"DD")</f>
        <v>13</v>
      </c>
      <c r="M83" t="str">
        <f>TEXT(Tabla1[[#This Row],[Fecha]],"yyyy")</f>
        <v>2024</v>
      </c>
      <c r="N83">
        <f>MONTH(Tabla1[[#This Row],[Fecha]])</f>
        <v>7</v>
      </c>
      <c r="O83" s="2" t="str">
        <f t="shared" si="3"/>
        <v>T3-24</v>
      </c>
    </row>
    <row r="84" spans="1:15" x14ac:dyDescent="0.25">
      <c r="A84" s="8">
        <v>83</v>
      </c>
      <c r="B84" t="s">
        <v>124</v>
      </c>
      <c r="C84" t="s">
        <v>26</v>
      </c>
      <c r="D84" t="s">
        <v>27</v>
      </c>
      <c r="E84" t="s">
        <v>41</v>
      </c>
      <c r="F84" t="s">
        <v>23</v>
      </c>
      <c r="G84" t="s">
        <v>24</v>
      </c>
      <c r="H84">
        <v>2</v>
      </c>
      <c r="I84" s="2">
        <v>1817</v>
      </c>
      <c r="J84">
        <f t="shared" si="2"/>
        <v>3634</v>
      </c>
      <c r="K84" t="str">
        <f>TEXT(Tabla1[[#This Row],[Fecha]],"MMMM")</f>
        <v>May</v>
      </c>
      <c r="L84" t="str">
        <f>TEXT(Tabla1[[#This Row],[Fecha]],"DD")</f>
        <v>25</v>
      </c>
      <c r="M84" t="str">
        <f>TEXT(Tabla1[[#This Row],[Fecha]],"yyyy")</f>
        <v>2025</v>
      </c>
      <c r="N84">
        <f>MONTH(Tabla1[[#This Row],[Fecha]])</f>
        <v>5</v>
      </c>
      <c r="O84" s="2" t="str">
        <f t="shared" si="3"/>
        <v>T2-25</v>
      </c>
    </row>
    <row r="85" spans="1:15" x14ac:dyDescent="0.25">
      <c r="A85" s="8">
        <v>84</v>
      </c>
      <c r="B85" t="s">
        <v>125</v>
      </c>
      <c r="C85" t="s">
        <v>10</v>
      </c>
      <c r="D85" t="s">
        <v>11</v>
      </c>
      <c r="E85" t="s">
        <v>22</v>
      </c>
      <c r="F85" t="s">
        <v>13</v>
      </c>
      <c r="G85" t="s">
        <v>24</v>
      </c>
      <c r="H85">
        <v>6</v>
      </c>
      <c r="I85" s="2">
        <v>4053</v>
      </c>
      <c r="J85">
        <f t="shared" si="2"/>
        <v>24318</v>
      </c>
      <c r="K85" t="str">
        <f>TEXT(Tabla1[[#This Row],[Fecha]],"MMMM")</f>
        <v>March</v>
      </c>
      <c r="L85" t="str">
        <f>TEXT(Tabla1[[#This Row],[Fecha]],"DD")</f>
        <v>25</v>
      </c>
      <c r="M85" t="str">
        <f>TEXT(Tabla1[[#This Row],[Fecha]],"yyyy")</f>
        <v>2023</v>
      </c>
      <c r="N85">
        <f>MONTH(Tabla1[[#This Row],[Fecha]])</f>
        <v>3</v>
      </c>
      <c r="O85" s="2" t="str">
        <f t="shared" si="3"/>
        <v>T1-23</v>
      </c>
    </row>
    <row r="86" spans="1:15" x14ac:dyDescent="0.25">
      <c r="A86" s="8">
        <v>85</v>
      </c>
      <c r="B86" t="s">
        <v>126</v>
      </c>
      <c r="C86" t="s">
        <v>26</v>
      </c>
      <c r="D86" t="s">
        <v>27</v>
      </c>
      <c r="E86" t="s">
        <v>61</v>
      </c>
      <c r="F86" t="s">
        <v>33</v>
      </c>
      <c r="G86" t="s">
        <v>24</v>
      </c>
      <c r="H86">
        <v>20</v>
      </c>
      <c r="I86" s="2">
        <v>195</v>
      </c>
      <c r="J86">
        <f t="shared" si="2"/>
        <v>3900</v>
      </c>
      <c r="K86" t="str">
        <f>TEXT(Tabla1[[#This Row],[Fecha]],"MMMM")</f>
        <v>July</v>
      </c>
      <c r="L86" t="str">
        <f>TEXT(Tabla1[[#This Row],[Fecha]],"DD")</f>
        <v>28</v>
      </c>
      <c r="M86" t="str">
        <f>TEXT(Tabla1[[#This Row],[Fecha]],"yyyy")</f>
        <v>2024</v>
      </c>
      <c r="N86">
        <f>MONTH(Tabla1[[#This Row],[Fecha]])</f>
        <v>7</v>
      </c>
      <c r="O86" s="2" t="str">
        <f t="shared" si="3"/>
        <v>T3-24</v>
      </c>
    </row>
    <row r="87" spans="1:15" x14ac:dyDescent="0.25">
      <c r="A87" s="8">
        <v>86</v>
      </c>
      <c r="B87" t="s">
        <v>94</v>
      </c>
      <c r="C87" t="s">
        <v>69</v>
      </c>
      <c r="D87" t="s">
        <v>17</v>
      </c>
      <c r="E87" t="s">
        <v>22</v>
      </c>
      <c r="F87" t="s">
        <v>13</v>
      </c>
      <c r="G87" t="s">
        <v>24</v>
      </c>
      <c r="H87">
        <v>13</v>
      </c>
      <c r="I87" s="2">
        <v>247</v>
      </c>
      <c r="J87">
        <f t="shared" si="2"/>
        <v>3211</v>
      </c>
      <c r="K87" t="str">
        <f>TEXT(Tabla1[[#This Row],[Fecha]],"MMMM")</f>
        <v>March</v>
      </c>
      <c r="L87" t="str">
        <f>TEXT(Tabla1[[#This Row],[Fecha]],"DD")</f>
        <v>08</v>
      </c>
      <c r="M87" t="str">
        <f>TEXT(Tabla1[[#This Row],[Fecha]],"yyyy")</f>
        <v>2025</v>
      </c>
      <c r="N87">
        <f>MONTH(Tabla1[[#This Row],[Fecha]])</f>
        <v>3</v>
      </c>
      <c r="O87" s="2" t="str">
        <f t="shared" si="3"/>
        <v>T1-25</v>
      </c>
    </row>
    <row r="88" spans="1:15" x14ac:dyDescent="0.25">
      <c r="A88" s="8">
        <v>87</v>
      </c>
      <c r="B88" t="s">
        <v>127</v>
      </c>
      <c r="C88" t="s">
        <v>49</v>
      </c>
      <c r="D88" t="s">
        <v>21</v>
      </c>
      <c r="E88" t="s">
        <v>22</v>
      </c>
      <c r="F88" t="s">
        <v>18</v>
      </c>
      <c r="G88" t="s">
        <v>24</v>
      </c>
      <c r="H88">
        <v>18</v>
      </c>
      <c r="I88" s="2">
        <v>3300</v>
      </c>
      <c r="J88">
        <f t="shared" si="2"/>
        <v>59400</v>
      </c>
      <c r="K88" t="str">
        <f>TEXT(Tabla1[[#This Row],[Fecha]],"MMMM")</f>
        <v>January</v>
      </c>
      <c r="L88" t="str">
        <f>TEXT(Tabla1[[#This Row],[Fecha]],"DD")</f>
        <v>08</v>
      </c>
      <c r="M88" t="str">
        <f>TEXT(Tabla1[[#This Row],[Fecha]],"yyyy")</f>
        <v>2023</v>
      </c>
      <c r="N88">
        <f>MONTH(Tabla1[[#This Row],[Fecha]])</f>
        <v>1</v>
      </c>
      <c r="O88" s="2" t="str">
        <f t="shared" si="3"/>
        <v>T1-23</v>
      </c>
    </row>
    <row r="89" spans="1:15" x14ac:dyDescent="0.25">
      <c r="A89" s="8">
        <v>88</v>
      </c>
      <c r="B89" t="s">
        <v>128</v>
      </c>
      <c r="C89" t="s">
        <v>66</v>
      </c>
      <c r="D89" t="s">
        <v>17</v>
      </c>
      <c r="E89" t="s">
        <v>32</v>
      </c>
      <c r="F89" t="s">
        <v>18</v>
      </c>
      <c r="G89" t="s">
        <v>14</v>
      </c>
      <c r="H89">
        <v>16</v>
      </c>
      <c r="I89" s="2">
        <v>4816</v>
      </c>
      <c r="J89">
        <f t="shared" si="2"/>
        <v>77056</v>
      </c>
      <c r="K89" t="str">
        <f>TEXT(Tabla1[[#This Row],[Fecha]],"MMMM")</f>
        <v>September</v>
      </c>
      <c r="L89" t="str">
        <f>TEXT(Tabla1[[#This Row],[Fecha]],"DD")</f>
        <v>24</v>
      </c>
      <c r="M89" t="str">
        <f>TEXT(Tabla1[[#This Row],[Fecha]],"yyyy")</f>
        <v>2023</v>
      </c>
      <c r="N89">
        <f>MONTH(Tabla1[[#This Row],[Fecha]])</f>
        <v>9</v>
      </c>
      <c r="O89" s="2" t="str">
        <f t="shared" si="3"/>
        <v>T3-23</v>
      </c>
    </row>
    <row r="90" spans="1:15" x14ac:dyDescent="0.25">
      <c r="A90" s="8">
        <v>89</v>
      </c>
      <c r="B90" t="s">
        <v>129</v>
      </c>
      <c r="C90" t="s">
        <v>37</v>
      </c>
      <c r="D90" t="s">
        <v>38</v>
      </c>
      <c r="E90" t="s">
        <v>12</v>
      </c>
      <c r="F90" t="s">
        <v>18</v>
      </c>
      <c r="G90" t="s">
        <v>14</v>
      </c>
      <c r="H90">
        <v>6</v>
      </c>
      <c r="I90" s="2">
        <v>4978</v>
      </c>
      <c r="J90">
        <f t="shared" si="2"/>
        <v>29868</v>
      </c>
      <c r="K90" t="str">
        <f>TEXT(Tabla1[[#This Row],[Fecha]],"MMMM")</f>
        <v>May</v>
      </c>
      <c r="L90" t="str">
        <f>TEXT(Tabla1[[#This Row],[Fecha]],"DD")</f>
        <v>28</v>
      </c>
      <c r="M90" t="str">
        <f>TEXT(Tabla1[[#This Row],[Fecha]],"yyyy")</f>
        <v>2025</v>
      </c>
      <c r="N90">
        <f>MONTH(Tabla1[[#This Row],[Fecha]])</f>
        <v>5</v>
      </c>
      <c r="O90" s="2" t="str">
        <f t="shared" si="3"/>
        <v>T2-25</v>
      </c>
    </row>
    <row r="91" spans="1:15" x14ac:dyDescent="0.25">
      <c r="A91" s="8">
        <v>90</v>
      </c>
      <c r="B91" t="s">
        <v>130</v>
      </c>
      <c r="C91" t="s">
        <v>10</v>
      </c>
      <c r="D91" t="s">
        <v>11</v>
      </c>
      <c r="E91" t="s">
        <v>61</v>
      </c>
      <c r="F91" t="s">
        <v>35</v>
      </c>
      <c r="G91" t="s">
        <v>14</v>
      </c>
      <c r="H91">
        <v>2</v>
      </c>
      <c r="I91" s="2">
        <v>301</v>
      </c>
      <c r="J91">
        <f t="shared" si="2"/>
        <v>602</v>
      </c>
      <c r="K91" t="str">
        <f>TEXT(Tabla1[[#This Row],[Fecha]],"MMMM")</f>
        <v>February</v>
      </c>
      <c r="L91" t="str">
        <f>TEXT(Tabla1[[#This Row],[Fecha]],"DD")</f>
        <v>04</v>
      </c>
      <c r="M91" t="str">
        <f>TEXT(Tabla1[[#This Row],[Fecha]],"yyyy")</f>
        <v>2025</v>
      </c>
      <c r="N91">
        <f>MONTH(Tabla1[[#This Row],[Fecha]])</f>
        <v>2</v>
      </c>
      <c r="O91" s="2" t="str">
        <f t="shared" si="3"/>
        <v>T1-25</v>
      </c>
    </row>
    <row r="92" spans="1:15" x14ac:dyDescent="0.25">
      <c r="A92" s="8">
        <v>91</v>
      </c>
      <c r="B92" t="s">
        <v>131</v>
      </c>
      <c r="C92" t="s">
        <v>16</v>
      </c>
      <c r="D92" t="s">
        <v>17</v>
      </c>
      <c r="E92" t="s">
        <v>50</v>
      </c>
      <c r="F92" t="s">
        <v>18</v>
      </c>
      <c r="G92" t="s">
        <v>24</v>
      </c>
      <c r="H92">
        <v>13</v>
      </c>
      <c r="I92" s="2">
        <v>4165</v>
      </c>
      <c r="J92">
        <f t="shared" si="2"/>
        <v>54145</v>
      </c>
      <c r="K92" t="str">
        <f>TEXT(Tabla1[[#This Row],[Fecha]],"MMMM")</f>
        <v>September</v>
      </c>
      <c r="L92" t="str">
        <f>TEXT(Tabla1[[#This Row],[Fecha]],"DD")</f>
        <v>11</v>
      </c>
      <c r="M92" t="str">
        <f>TEXT(Tabla1[[#This Row],[Fecha]],"yyyy")</f>
        <v>2025</v>
      </c>
      <c r="N92">
        <f>MONTH(Tabla1[[#This Row],[Fecha]])</f>
        <v>9</v>
      </c>
      <c r="O92" s="2" t="str">
        <f t="shared" si="3"/>
        <v>T3-25</v>
      </c>
    </row>
    <row r="93" spans="1:15" x14ac:dyDescent="0.25">
      <c r="A93" s="8">
        <v>92</v>
      </c>
      <c r="B93" t="s">
        <v>132</v>
      </c>
      <c r="C93" t="s">
        <v>30</v>
      </c>
      <c r="D93" t="s">
        <v>17</v>
      </c>
      <c r="E93" t="s">
        <v>41</v>
      </c>
      <c r="F93" t="s">
        <v>33</v>
      </c>
      <c r="G93" t="s">
        <v>24</v>
      </c>
      <c r="H93">
        <v>18</v>
      </c>
      <c r="I93" s="2">
        <v>1208</v>
      </c>
      <c r="J93">
        <f t="shared" si="2"/>
        <v>21744</v>
      </c>
      <c r="K93" t="str">
        <f>TEXT(Tabla1[[#This Row],[Fecha]],"MMMM")</f>
        <v>April</v>
      </c>
      <c r="L93" t="str">
        <f>TEXT(Tabla1[[#This Row],[Fecha]],"DD")</f>
        <v>29</v>
      </c>
      <c r="M93" t="str">
        <f>TEXT(Tabla1[[#This Row],[Fecha]],"yyyy")</f>
        <v>2024</v>
      </c>
      <c r="N93">
        <f>MONTH(Tabla1[[#This Row],[Fecha]])</f>
        <v>4</v>
      </c>
      <c r="O93" s="2" t="str">
        <f t="shared" si="3"/>
        <v>T2-24</v>
      </c>
    </row>
    <row r="94" spans="1:15" x14ac:dyDescent="0.25">
      <c r="A94" s="8">
        <v>93</v>
      </c>
      <c r="B94" t="s">
        <v>133</v>
      </c>
      <c r="C94" t="s">
        <v>37</v>
      </c>
      <c r="D94" t="s">
        <v>38</v>
      </c>
      <c r="E94" t="s">
        <v>22</v>
      </c>
      <c r="F94" t="s">
        <v>18</v>
      </c>
      <c r="G94" t="s">
        <v>24</v>
      </c>
      <c r="H94">
        <v>2</v>
      </c>
      <c r="I94" s="2">
        <v>3647</v>
      </c>
      <c r="J94">
        <f t="shared" si="2"/>
        <v>7294</v>
      </c>
      <c r="K94" t="str">
        <f>TEXT(Tabla1[[#This Row],[Fecha]],"MMMM")</f>
        <v>February</v>
      </c>
      <c r="L94" t="str">
        <f>TEXT(Tabla1[[#This Row],[Fecha]],"DD")</f>
        <v>22</v>
      </c>
      <c r="M94" t="str">
        <f>TEXT(Tabla1[[#This Row],[Fecha]],"yyyy")</f>
        <v>2024</v>
      </c>
      <c r="N94">
        <f>MONTH(Tabla1[[#This Row],[Fecha]])</f>
        <v>2</v>
      </c>
      <c r="O94" s="2" t="str">
        <f t="shared" si="3"/>
        <v>T1-24</v>
      </c>
    </row>
    <row r="95" spans="1:15" x14ac:dyDescent="0.25">
      <c r="A95" s="8">
        <v>94</v>
      </c>
      <c r="B95" t="s">
        <v>134</v>
      </c>
      <c r="C95" t="s">
        <v>10</v>
      </c>
      <c r="D95" t="s">
        <v>11</v>
      </c>
      <c r="E95" t="s">
        <v>41</v>
      </c>
      <c r="F95" t="s">
        <v>42</v>
      </c>
      <c r="G95" t="s">
        <v>24</v>
      </c>
      <c r="H95">
        <v>20</v>
      </c>
      <c r="I95" s="2">
        <v>608</v>
      </c>
      <c r="J95">
        <f t="shared" si="2"/>
        <v>12160</v>
      </c>
      <c r="K95" t="str">
        <f>TEXT(Tabla1[[#This Row],[Fecha]],"MMMM")</f>
        <v>June</v>
      </c>
      <c r="L95" t="str">
        <f>TEXT(Tabla1[[#This Row],[Fecha]],"DD")</f>
        <v>23</v>
      </c>
      <c r="M95" t="str">
        <f>TEXT(Tabla1[[#This Row],[Fecha]],"yyyy")</f>
        <v>2023</v>
      </c>
      <c r="N95">
        <f>MONTH(Tabla1[[#This Row],[Fecha]])</f>
        <v>6</v>
      </c>
      <c r="O95" s="2" t="str">
        <f t="shared" si="3"/>
        <v>T2-23</v>
      </c>
    </row>
    <row r="96" spans="1:15" x14ac:dyDescent="0.25">
      <c r="A96" s="8">
        <v>95</v>
      </c>
      <c r="B96" t="s">
        <v>135</v>
      </c>
      <c r="C96" t="s">
        <v>20</v>
      </c>
      <c r="D96" t="s">
        <v>21</v>
      </c>
      <c r="E96" t="s">
        <v>12</v>
      </c>
      <c r="F96" t="s">
        <v>13</v>
      </c>
      <c r="G96" t="s">
        <v>14</v>
      </c>
      <c r="H96">
        <v>9</v>
      </c>
      <c r="I96" s="2">
        <v>322</v>
      </c>
      <c r="J96">
        <f t="shared" si="2"/>
        <v>2898</v>
      </c>
      <c r="K96" t="str">
        <f>TEXT(Tabla1[[#This Row],[Fecha]],"MMMM")</f>
        <v>July</v>
      </c>
      <c r="L96" t="str">
        <f>TEXT(Tabla1[[#This Row],[Fecha]],"DD")</f>
        <v>15</v>
      </c>
      <c r="M96" t="str">
        <f>TEXT(Tabla1[[#This Row],[Fecha]],"yyyy")</f>
        <v>2023</v>
      </c>
      <c r="N96">
        <f>MONTH(Tabla1[[#This Row],[Fecha]])</f>
        <v>7</v>
      </c>
      <c r="O96" s="2" t="str">
        <f t="shared" si="3"/>
        <v>T3-23</v>
      </c>
    </row>
    <row r="97" spans="1:15" x14ac:dyDescent="0.25">
      <c r="A97" s="8">
        <v>96</v>
      </c>
      <c r="B97" t="s">
        <v>136</v>
      </c>
      <c r="C97" t="s">
        <v>66</v>
      </c>
      <c r="D97" t="s">
        <v>17</v>
      </c>
      <c r="E97" t="s">
        <v>61</v>
      </c>
      <c r="F97" t="s">
        <v>35</v>
      </c>
      <c r="G97" t="s">
        <v>24</v>
      </c>
      <c r="H97">
        <v>8</v>
      </c>
      <c r="I97" s="2">
        <v>230</v>
      </c>
      <c r="J97">
        <f t="shared" si="2"/>
        <v>1840</v>
      </c>
      <c r="K97" t="str">
        <f>TEXT(Tabla1[[#This Row],[Fecha]],"MMMM")</f>
        <v>May</v>
      </c>
      <c r="L97" t="str">
        <f>TEXT(Tabla1[[#This Row],[Fecha]],"DD")</f>
        <v>21</v>
      </c>
      <c r="M97" t="str">
        <f>TEXT(Tabla1[[#This Row],[Fecha]],"yyyy")</f>
        <v>2024</v>
      </c>
      <c r="N97">
        <f>MONTH(Tabla1[[#This Row],[Fecha]])</f>
        <v>5</v>
      </c>
      <c r="O97" s="2" t="str">
        <f t="shared" si="3"/>
        <v>T2-24</v>
      </c>
    </row>
    <row r="98" spans="1:15" x14ac:dyDescent="0.25">
      <c r="A98" s="8">
        <v>97</v>
      </c>
      <c r="B98" t="s">
        <v>137</v>
      </c>
      <c r="C98" t="s">
        <v>20</v>
      </c>
      <c r="D98" t="s">
        <v>21</v>
      </c>
      <c r="E98" t="s">
        <v>44</v>
      </c>
      <c r="F98" t="s">
        <v>42</v>
      </c>
      <c r="G98" t="s">
        <v>14</v>
      </c>
      <c r="H98">
        <v>2</v>
      </c>
      <c r="I98" s="2">
        <v>1393</v>
      </c>
      <c r="J98">
        <f t="shared" si="2"/>
        <v>2786</v>
      </c>
      <c r="K98" t="str">
        <f>TEXT(Tabla1[[#This Row],[Fecha]],"MMMM")</f>
        <v>October</v>
      </c>
      <c r="L98" t="str">
        <f>TEXT(Tabla1[[#This Row],[Fecha]],"DD")</f>
        <v>12</v>
      </c>
      <c r="M98" t="str">
        <f>TEXT(Tabla1[[#This Row],[Fecha]],"yyyy")</f>
        <v>2025</v>
      </c>
      <c r="N98">
        <f>MONTH(Tabla1[[#This Row],[Fecha]])</f>
        <v>10</v>
      </c>
      <c r="O98" s="2" t="str">
        <f t="shared" si="3"/>
        <v>T4-25</v>
      </c>
    </row>
    <row r="99" spans="1:15" x14ac:dyDescent="0.25">
      <c r="A99" s="8">
        <v>98</v>
      </c>
      <c r="B99" t="s">
        <v>138</v>
      </c>
      <c r="C99" t="s">
        <v>69</v>
      </c>
      <c r="D99" t="s">
        <v>17</v>
      </c>
      <c r="E99" t="s">
        <v>58</v>
      </c>
      <c r="F99" t="s">
        <v>42</v>
      </c>
      <c r="G99" t="s">
        <v>14</v>
      </c>
      <c r="H99">
        <v>25</v>
      </c>
      <c r="I99" s="2">
        <v>4996</v>
      </c>
      <c r="J99">
        <f t="shared" si="2"/>
        <v>124900</v>
      </c>
      <c r="K99" t="str">
        <f>TEXT(Tabla1[[#This Row],[Fecha]],"MMMM")</f>
        <v>December</v>
      </c>
      <c r="L99" t="str">
        <f>TEXT(Tabla1[[#This Row],[Fecha]],"DD")</f>
        <v>18</v>
      </c>
      <c r="M99" t="str">
        <f>TEXT(Tabla1[[#This Row],[Fecha]],"yyyy")</f>
        <v>2024</v>
      </c>
      <c r="N99">
        <f>MONTH(Tabla1[[#This Row],[Fecha]])</f>
        <v>12</v>
      </c>
      <c r="O99" s="2" t="str">
        <f t="shared" si="3"/>
        <v>T4-24</v>
      </c>
    </row>
    <row r="100" spans="1:15" x14ac:dyDescent="0.25">
      <c r="A100" s="8">
        <v>99</v>
      </c>
      <c r="B100" t="s">
        <v>139</v>
      </c>
      <c r="C100" t="s">
        <v>10</v>
      </c>
      <c r="D100" t="s">
        <v>11</v>
      </c>
      <c r="E100" t="s">
        <v>61</v>
      </c>
      <c r="F100" t="s">
        <v>28</v>
      </c>
      <c r="G100" t="s">
        <v>24</v>
      </c>
      <c r="H100">
        <v>16</v>
      </c>
      <c r="I100" s="2">
        <v>1938</v>
      </c>
      <c r="J100">
        <f t="shared" si="2"/>
        <v>31008</v>
      </c>
      <c r="K100" t="str">
        <f>TEXT(Tabla1[[#This Row],[Fecha]],"MMMM")</f>
        <v>June</v>
      </c>
      <c r="L100" t="str">
        <f>TEXT(Tabla1[[#This Row],[Fecha]],"DD")</f>
        <v>26</v>
      </c>
      <c r="M100" t="str">
        <f>TEXT(Tabla1[[#This Row],[Fecha]],"yyyy")</f>
        <v>2025</v>
      </c>
      <c r="N100">
        <f>MONTH(Tabla1[[#This Row],[Fecha]])</f>
        <v>6</v>
      </c>
      <c r="O100" s="2" t="str">
        <f t="shared" si="3"/>
        <v>T2-25</v>
      </c>
    </row>
    <row r="101" spans="1:15" x14ac:dyDescent="0.25">
      <c r="A101" s="8">
        <v>100</v>
      </c>
      <c r="B101" t="s">
        <v>140</v>
      </c>
      <c r="C101" t="s">
        <v>30</v>
      </c>
      <c r="D101" t="s">
        <v>17</v>
      </c>
      <c r="E101" t="s">
        <v>22</v>
      </c>
      <c r="F101" t="s">
        <v>13</v>
      </c>
      <c r="G101" t="s">
        <v>24</v>
      </c>
      <c r="H101">
        <v>21</v>
      </c>
      <c r="I101" s="2">
        <v>4061</v>
      </c>
      <c r="J101">
        <f t="shared" si="2"/>
        <v>85281</v>
      </c>
      <c r="K101" t="str">
        <f>TEXT(Tabla1[[#This Row],[Fecha]],"MMMM")</f>
        <v>March</v>
      </c>
      <c r="L101" t="str">
        <f>TEXT(Tabla1[[#This Row],[Fecha]],"DD")</f>
        <v>28</v>
      </c>
      <c r="M101" t="str">
        <f>TEXT(Tabla1[[#This Row],[Fecha]],"yyyy")</f>
        <v>2025</v>
      </c>
      <c r="N101">
        <f>MONTH(Tabla1[[#This Row],[Fecha]])</f>
        <v>3</v>
      </c>
      <c r="O101" s="2" t="str">
        <f t="shared" si="3"/>
        <v>T1-25</v>
      </c>
    </row>
    <row r="102" spans="1:15" x14ac:dyDescent="0.25">
      <c r="A102" s="8">
        <v>101</v>
      </c>
      <c r="B102" t="s">
        <v>141</v>
      </c>
      <c r="C102" t="s">
        <v>26</v>
      </c>
      <c r="D102" t="s">
        <v>27</v>
      </c>
      <c r="E102" t="s">
        <v>41</v>
      </c>
      <c r="F102" t="s">
        <v>23</v>
      </c>
      <c r="G102" t="s">
        <v>14</v>
      </c>
      <c r="H102">
        <v>13</v>
      </c>
      <c r="I102" s="2">
        <v>1232</v>
      </c>
      <c r="J102">
        <f t="shared" si="2"/>
        <v>16016</v>
      </c>
      <c r="K102" t="str">
        <f>TEXT(Tabla1[[#This Row],[Fecha]],"MMMM")</f>
        <v>February</v>
      </c>
      <c r="L102" t="str">
        <f>TEXT(Tabla1[[#This Row],[Fecha]],"DD")</f>
        <v>08</v>
      </c>
      <c r="M102" t="str">
        <f>TEXT(Tabla1[[#This Row],[Fecha]],"yyyy")</f>
        <v>2025</v>
      </c>
      <c r="N102">
        <f>MONTH(Tabla1[[#This Row],[Fecha]])</f>
        <v>2</v>
      </c>
      <c r="O102" s="2" t="str">
        <f t="shared" si="3"/>
        <v>T1-25</v>
      </c>
    </row>
    <row r="103" spans="1:15" x14ac:dyDescent="0.25">
      <c r="A103" s="8">
        <v>102</v>
      </c>
      <c r="B103" t="s">
        <v>142</v>
      </c>
      <c r="C103" t="s">
        <v>69</v>
      </c>
      <c r="D103" t="s">
        <v>17</v>
      </c>
      <c r="E103" t="s">
        <v>44</v>
      </c>
      <c r="F103" t="s">
        <v>35</v>
      </c>
      <c r="G103" t="s">
        <v>24</v>
      </c>
      <c r="H103">
        <v>2</v>
      </c>
      <c r="I103" s="2">
        <v>1019</v>
      </c>
      <c r="J103">
        <f t="shared" si="2"/>
        <v>2038</v>
      </c>
      <c r="K103" t="str">
        <f>TEXT(Tabla1[[#This Row],[Fecha]],"MMMM")</f>
        <v>December</v>
      </c>
      <c r="L103" t="str">
        <f>TEXT(Tabla1[[#This Row],[Fecha]],"DD")</f>
        <v>31</v>
      </c>
      <c r="M103" t="str">
        <f>TEXT(Tabla1[[#This Row],[Fecha]],"yyyy")</f>
        <v>2023</v>
      </c>
      <c r="N103">
        <f>MONTH(Tabla1[[#This Row],[Fecha]])</f>
        <v>12</v>
      </c>
      <c r="O103" s="2" t="str">
        <f t="shared" si="3"/>
        <v>T4-23</v>
      </c>
    </row>
    <row r="104" spans="1:15" x14ac:dyDescent="0.25">
      <c r="A104" s="8">
        <v>103</v>
      </c>
      <c r="B104" t="s">
        <v>143</v>
      </c>
      <c r="C104" t="s">
        <v>46</v>
      </c>
      <c r="D104" t="s">
        <v>38</v>
      </c>
      <c r="E104" t="s">
        <v>44</v>
      </c>
      <c r="F104" t="s">
        <v>18</v>
      </c>
      <c r="G104" t="s">
        <v>24</v>
      </c>
      <c r="H104">
        <v>3</v>
      </c>
      <c r="I104" s="2">
        <v>1861</v>
      </c>
      <c r="J104">
        <f t="shared" si="2"/>
        <v>5583</v>
      </c>
      <c r="K104" t="str">
        <f>TEXT(Tabla1[[#This Row],[Fecha]],"MMMM")</f>
        <v>October</v>
      </c>
      <c r="L104" t="str">
        <f>TEXT(Tabla1[[#This Row],[Fecha]],"DD")</f>
        <v>10</v>
      </c>
      <c r="M104" t="str">
        <f>TEXT(Tabla1[[#This Row],[Fecha]],"yyyy")</f>
        <v>2025</v>
      </c>
      <c r="N104">
        <f>MONTH(Tabla1[[#This Row],[Fecha]])</f>
        <v>10</v>
      </c>
      <c r="O104" s="2" t="str">
        <f t="shared" si="3"/>
        <v>T4-25</v>
      </c>
    </row>
    <row r="105" spans="1:15" x14ac:dyDescent="0.25">
      <c r="A105" s="8">
        <v>104</v>
      </c>
      <c r="B105" t="s">
        <v>144</v>
      </c>
      <c r="C105" t="s">
        <v>37</v>
      </c>
      <c r="D105" t="s">
        <v>38</v>
      </c>
      <c r="E105" t="s">
        <v>41</v>
      </c>
      <c r="F105" t="s">
        <v>33</v>
      </c>
      <c r="G105" t="s">
        <v>14</v>
      </c>
      <c r="H105">
        <v>10</v>
      </c>
      <c r="I105" s="2">
        <v>720</v>
      </c>
      <c r="J105">
        <f t="shared" si="2"/>
        <v>7200</v>
      </c>
      <c r="K105" t="str">
        <f>TEXT(Tabla1[[#This Row],[Fecha]],"MMMM")</f>
        <v>November</v>
      </c>
      <c r="L105" t="str">
        <f>TEXT(Tabla1[[#This Row],[Fecha]],"DD")</f>
        <v>24</v>
      </c>
      <c r="M105" t="str">
        <f>TEXT(Tabla1[[#This Row],[Fecha]],"yyyy")</f>
        <v>2024</v>
      </c>
      <c r="N105">
        <f>MONTH(Tabla1[[#This Row],[Fecha]])</f>
        <v>11</v>
      </c>
      <c r="O105" s="2" t="str">
        <f t="shared" si="3"/>
        <v>T4-24</v>
      </c>
    </row>
    <row r="106" spans="1:15" x14ac:dyDescent="0.25">
      <c r="A106" s="8">
        <v>105</v>
      </c>
      <c r="B106" t="s">
        <v>145</v>
      </c>
      <c r="C106" t="s">
        <v>37</v>
      </c>
      <c r="D106" t="s">
        <v>38</v>
      </c>
      <c r="E106" t="s">
        <v>72</v>
      </c>
      <c r="F106" t="s">
        <v>28</v>
      </c>
      <c r="G106" t="s">
        <v>14</v>
      </c>
      <c r="H106">
        <v>5</v>
      </c>
      <c r="I106" s="2">
        <v>990</v>
      </c>
      <c r="J106">
        <f t="shared" si="2"/>
        <v>4950</v>
      </c>
      <c r="K106" t="str">
        <f>TEXT(Tabla1[[#This Row],[Fecha]],"MMMM")</f>
        <v>January</v>
      </c>
      <c r="L106" t="str">
        <f>TEXT(Tabla1[[#This Row],[Fecha]],"DD")</f>
        <v>18</v>
      </c>
      <c r="M106" t="str">
        <f>TEXT(Tabla1[[#This Row],[Fecha]],"yyyy")</f>
        <v>2025</v>
      </c>
      <c r="N106">
        <f>MONTH(Tabla1[[#This Row],[Fecha]])</f>
        <v>1</v>
      </c>
      <c r="O106" s="2" t="str">
        <f t="shared" si="3"/>
        <v>T1-25</v>
      </c>
    </row>
    <row r="107" spans="1:15" x14ac:dyDescent="0.25">
      <c r="A107" s="8">
        <v>106</v>
      </c>
      <c r="B107" t="s">
        <v>146</v>
      </c>
      <c r="C107" t="s">
        <v>20</v>
      </c>
      <c r="D107" t="s">
        <v>21</v>
      </c>
      <c r="E107" t="s">
        <v>41</v>
      </c>
      <c r="F107" t="s">
        <v>35</v>
      </c>
      <c r="G107" t="s">
        <v>14</v>
      </c>
      <c r="H107">
        <v>24</v>
      </c>
      <c r="I107" s="2">
        <v>2322</v>
      </c>
      <c r="J107">
        <f t="shared" si="2"/>
        <v>55728</v>
      </c>
      <c r="K107" t="str">
        <f>TEXT(Tabla1[[#This Row],[Fecha]],"MMMM")</f>
        <v>May</v>
      </c>
      <c r="L107" t="str">
        <f>TEXT(Tabla1[[#This Row],[Fecha]],"DD")</f>
        <v>26</v>
      </c>
      <c r="M107" t="str">
        <f>TEXT(Tabla1[[#This Row],[Fecha]],"yyyy")</f>
        <v>2024</v>
      </c>
      <c r="N107">
        <f>MONTH(Tabla1[[#This Row],[Fecha]])</f>
        <v>5</v>
      </c>
      <c r="O107" s="2" t="str">
        <f t="shared" si="3"/>
        <v>T2-24</v>
      </c>
    </row>
    <row r="108" spans="1:15" x14ac:dyDescent="0.25">
      <c r="A108" s="8">
        <v>107</v>
      </c>
      <c r="B108" t="s">
        <v>147</v>
      </c>
      <c r="C108" t="s">
        <v>16</v>
      </c>
      <c r="D108" t="s">
        <v>17</v>
      </c>
      <c r="E108" t="s">
        <v>12</v>
      </c>
      <c r="F108" t="s">
        <v>13</v>
      </c>
      <c r="G108" t="s">
        <v>14</v>
      </c>
      <c r="H108">
        <v>10</v>
      </c>
      <c r="I108" s="2">
        <v>1898</v>
      </c>
      <c r="J108">
        <f t="shared" si="2"/>
        <v>18980</v>
      </c>
      <c r="K108" t="str">
        <f>TEXT(Tabla1[[#This Row],[Fecha]],"MMMM")</f>
        <v>October</v>
      </c>
      <c r="L108" t="str">
        <f>TEXT(Tabla1[[#This Row],[Fecha]],"DD")</f>
        <v>07</v>
      </c>
      <c r="M108" t="str">
        <f>TEXT(Tabla1[[#This Row],[Fecha]],"yyyy")</f>
        <v>2025</v>
      </c>
      <c r="N108">
        <f>MONTH(Tabla1[[#This Row],[Fecha]])</f>
        <v>10</v>
      </c>
      <c r="O108" s="2" t="str">
        <f t="shared" si="3"/>
        <v>T4-25</v>
      </c>
    </row>
    <row r="109" spans="1:15" x14ac:dyDescent="0.25">
      <c r="A109" s="8">
        <v>108</v>
      </c>
      <c r="B109" t="s">
        <v>148</v>
      </c>
      <c r="C109" t="s">
        <v>10</v>
      </c>
      <c r="D109" t="s">
        <v>11</v>
      </c>
      <c r="E109" t="s">
        <v>22</v>
      </c>
      <c r="F109" t="s">
        <v>35</v>
      </c>
      <c r="G109" t="s">
        <v>24</v>
      </c>
      <c r="H109">
        <v>2</v>
      </c>
      <c r="I109" s="2">
        <v>4566</v>
      </c>
      <c r="J109">
        <f t="shared" si="2"/>
        <v>9132</v>
      </c>
      <c r="K109" t="str">
        <f>TEXT(Tabla1[[#This Row],[Fecha]],"MMMM")</f>
        <v>June</v>
      </c>
      <c r="L109" t="str">
        <f>TEXT(Tabla1[[#This Row],[Fecha]],"DD")</f>
        <v>29</v>
      </c>
      <c r="M109" t="str">
        <f>TEXT(Tabla1[[#This Row],[Fecha]],"yyyy")</f>
        <v>2025</v>
      </c>
      <c r="N109">
        <f>MONTH(Tabla1[[#This Row],[Fecha]])</f>
        <v>6</v>
      </c>
      <c r="O109" s="2" t="str">
        <f t="shared" si="3"/>
        <v>T2-25</v>
      </c>
    </row>
    <row r="110" spans="1:15" x14ac:dyDescent="0.25">
      <c r="A110" s="8">
        <v>109</v>
      </c>
      <c r="B110" t="s">
        <v>149</v>
      </c>
      <c r="C110" t="s">
        <v>69</v>
      </c>
      <c r="D110" t="s">
        <v>17</v>
      </c>
      <c r="E110" t="s">
        <v>50</v>
      </c>
      <c r="F110" t="s">
        <v>35</v>
      </c>
      <c r="G110" t="s">
        <v>24</v>
      </c>
      <c r="H110">
        <v>1</v>
      </c>
      <c r="I110" s="2">
        <v>2582</v>
      </c>
      <c r="J110">
        <f t="shared" si="2"/>
        <v>2582</v>
      </c>
      <c r="K110" t="str">
        <f>TEXT(Tabla1[[#This Row],[Fecha]],"MMMM")</f>
        <v>July</v>
      </c>
      <c r="L110" t="str">
        <f>TEXT(Tabla1[[#This Row],[Fecha]],"DD")</f>
        <v>29</v>
      </c>
      <c r="M110" t="str">
        <f>TEXT(Tabla1[[#This Row],[Fecha]],"yyyy")</f>
        <v>2024</v>
      </c>
      <c r="N110">
        <f>MONTH(Tabla1[[#This Row],[Fecha]])</f>
        <v>7</v>
      </c>
      <c r="O110" s="2" t="str">
        <f t="shared" si="3"/>
        <v>T3-24</v>
      </c>
    </row>
    <row r="111" spans="1:15" x14ac:dyDescent="0.25">
      <c r="A111" s="8">
        <v>110</v>
      </c>
      <c r="B111" t="s">
        <v>150</v>
      </c>
      <c r="C111" t="s">
        <v>69</v>
      </c>
      <c r="D111" t="s">
        <v>17</v>
      </c>
      <c r="E111" t="s">
        <v>52</v>
      </c>
      <c r="F111" t="s">
        <v>35</v>
      </c>
      <c r="G111" t="s">
        <v>14</v>
      </c>
      <c r="H111">
        <v>10</v>
      </c>
      <c r="I111" s="2">
        <v>459</v>
      </c>
      <c r="J111">
        <f t="shared" si="2"/>
        <v>4590</v>
      </c>
      <c r="K111" t="str">
        <f>TEXT(Tabla1[[#This Row],[Fecha]],"MMMM")</f>
        <v>October</v>
      </c>
      <c r="L111" t="str">
        <f>TEXT(Tabla1[[#This Row],[Fecha]],"DD")</f>
        <v>12</v>
      </c>
      <c r="M111" t="str">
        <f>TEXT(Tabla1[[#This Row],[Fecha]],"yyyy")</f>
        <v>2023</v>
      </c>
      <c r="N111">
        <f>MONTH(Tabla1[[#This Row],[Fecha]])</f>
        <v>10</v>
      </c>
      <c r="O111" s="2" t="str">
        <f t="shared" si="3"/>
        <v>T4-23</v>
      </c>
    </row>
    <row r="112" spans="1:15" x14ac:dyDescent="0.25">
      <c r="A112" s="8">
        <v>111</v>
      </c>
      <c r="B112" t="s">
        <v>151</v>
      </c>
      <c r="C112" t="s">
        <v>66</v>
      </c>
      <c r="D112" t="s">
        <v>17</v>
      </c>
      <c r="E112" t="s">
        <v>22</v>
      </c>
      <c r="F112" t="s">
        <v>13</v>
      </c>
      <c r="G112" t="s">
        <v>14</v>
      </c>
      <c r="H112">
        <v>13</v>
      </c>
      <c r="I112" s="2">
        <v>4830</v>
      </c>
      <c r="J112">
        <f t="shared" si="2"/>
        <v>62790</v>
      </c>
      <c r="K112" t="str">
        <f>TEXT(Tabla1[[#This Row],[Fecha]],"MMMM")</f>
        <v>June</v>
      </c>
      <c r="L112" t="str">
        <f>TEXT(Tabla1[[#This Row],[Fecha]],"DD")</f>
        <v>09</v>
      </c>
      <c r="M112" t="str">
        <f>TEXT(Tabla1[[#This Row],[Fecha]],"yyyy")</f>
        <v>2023</v>
      </c>
      <c r="N112">
        <f>MONTH(Tabla1[[#This Row],[Fecha]])</f>
        <v>6</v>
      </c>
      <c r="O112" s="2" t="str">
        <f t="shared" si="3"/>
        <v>T2-23</v>
      </c>
    </row>
    <row r="113" spans="1:15" x14ac:dyDescent="0.25">
      <c r="A113" s="8">
        <v>112</v>
      </c>
      <c r="B113" t="s">
        <v>152</v>
      </c>
      <c r="C113" t="s">
        <v>46</v>
      </c>
      <c r="D113" t="s">
        <v>38</v>
      </c>
      <c r="E113" t="s">
        <v>50</v>
      </c>
      <c r="F113" t="s">
        <v>42</v>
      </c>
      <c r="G113" t="s">
        <v>14</v>
      </c>
      <c r="H113">
        <v>23</v>
      </c>
      <c r="I113" s="2">
        <v>2309</v>
      </c>
      <c r="J113">
        <f t="shared" si="2"/>
        <v>53107</v>
      </c>
      <c r="K113" t="str">
        <f>TEXT(Tabla1[[#This Row],[Fecha]],"MMMM")</f>
        <v>November</v>
      </c>
      <c r="L113" t="str">
        <f>TEXT(Tabla1[[#This Row],[Fecha]],"DD")</f>
        <v>04</v>
      </c>
      <c r="M113" t="str">
        <f>TEXT(Tabla1[[#This Row],[Fecha]],"yyyy")</f>
        <v>2024</v>
      </c>
      <c r="N113">
        <f>MONTH(Tabla1[[#This Row],[Fecha]])</f>
        <v>11</v>
      </c>
      <c r="O113" s="2" t="str">
        <f t="shared" si="3"/>
        <v>T4-24</v>
      </c>
    </row>
    <row r="114" spans="1:15" x14ac:dyDescent="0.25">
      <c r="A114" s="8">
        <v>113</v>
      </c>
      <c r="B114" t="s">
        <v>153</v>
      </c>
      <c r="C114" t="s">
        <v>69</v>
      </c>
      <c r="D114" t="s">
        <v>17</v>
      </c>
      <c r="E114" t="s">
        <v>61</v>
      </c>
      <c r="F114" t="s">
        <v>42</v>
      </c>
      <c r="G114" t="s">
        <v>24</v>
      </c>
      <c r="H114">
        <v>7</v>
      </c>
      <c r="I114" s="2">
        <v>1366</v>
      </c>
      <c r="J114">
        <f t="shared" si="2"/>
        <v>9562</v>
      </c>
      <c r="K114" t="str">
        <f>TEXT(Tabla1[[#This Row],[Fecha]],"MMMM")</f>
        <v>September</v>
      </c>
      <c r="L114" t="str">
        <f>TEXT(Tabla1[[#This Row],[Fecha]],"DD")</f>
        <v>17</v>
      </c>
      <c r="M114" t="str">
        <f>TEXT(Tabla1[[#This Row],[Fecha]],"yyyy")</f>
        <v>2025</v>
      </c>
      <c r="N114">
        <f>MONTH(Tabla1[[#This Row],[Fecha]])</f>
        <v>9</v>
      </c>
      <c r="O114" s="2" t="str">
        <f t="shared" si="3"/>
        <v>T3-25</v>
      </c>
    </row>
    <row r="115" spans="1:15" x14ac:dyDescent="0.25">
      <c r="A115" s="8">
        <v>114</v>
      </c>
      <c r="B115" t="s">
        <v>151</v>
      </c>
      <c r="C115" t="s">
        <v>20</v>
      </c>
      <c r="D115" t="s">
        <v>21</v>
      </c>
      <c r="E115" t="s">
        <v>22</v>
      </c>
      <c r="F115" t="s">
        <v>18</v>
      </c>
      <c r="G115" t="s">
        <v>24</v>
      </c>
      <c r="H115">
        <v>22</v>
      </c>
      <c r="I115" s="2">
        <v>1944</v>
      </c>
      <c r="J115">
        <f t="shared" si="2"/>
        <v>42768</v>
      </c>
      <c r="K115" t="str">
        <f>TEXT(Tabla1[[#This Row],[Fecha]],"MMMM")</f>
        <v>June</v>
      </c>
      <c r="L115" t="str">
        <f>TEXT(Tabla1[[#This Row],[Fecha]],"DD")</f>
        <v>09</v>
      </c>
      <c r="M115" t="str">
        <f>TEXT(Tabla1[[#This Row],[Fecha]],"yyyy")</f>
        <v>2023</v>
      </c>
      <c r="N115">
        <f>MONTH(Tabla1[[#This Row],[Fecha]])</f>
        <v>6</v>
      </c>
      <c r="O115" s="2" t="str">
        <f t="shared" si="3"/>
        <v>T2-23</v>
      </c>
    </row>
    <row r="116" spans="1:15" x14ac:dyDescent="0.25">
      <c r="A116" s="8">
        <v>115</v>
      </c>
      <c r="B116" t="s">
        <v>154</v>
      </c>
      <c r="C116" t="s">
        <v>30</v>
      </c>
      <c r="D116" t="s">
        <v>17</v>
      </c>
      <c r="E116" t="s">
        <v>50</v>
      </c>
      <c r="F116" t="s">
        <v>42</v>
      </c>
      <c r="G116" t="s">
        <v>14</v>
      </c>
      <c r="H116">
        <v>9</v>
      </c>
      <c r="I116" s="2">
        <v>4292</v>
      </c>
      <c r="J116">
        <f t="shared" si="2"/>
        <v>38628</v>
      </c>
      <c r="K116" t="str">
        <f>TEXT(Tabla1[[#This Row],[Fecha]],"MMMM")</f>
        <v>August</v>
      </c>
      <c r="L116" t="str">
        <f>TEXT(Tabla1[[#This Row],[Fecha]],"DD")</f>
        <v>18</v>
      </c>
      <c r="M116" t="str">
        <f>TEXT(Tabla1[[#This Row],[Fecha]],"yyyy")</f>
        <v>2024</v>
      </c>
      <c r="N116">
        <f>MONTH(Tabla1[[#This Row],[Fecha]])</f>
        <v>8</v>
      </c>
      <c r="O116" s="2" t="str">
        <f t="shared" si="3"/>
        <v>T3-24</v>
      </c>
    </row>
    <row r="117" spans="1:15" x14ac:dyDescent="0.25">
      <c r="A117" s="8">
        <v>116</v>
      </c>
      <c r="B117" t="s">
        <v>155</v>
      </c>
      <c r="C117" t="s">
        <v>30</v>
      </c>
      <c r="D117" t="s">
        <v>17</v>
      </c>
      <c r="E117" t="s">
        <v>22</v>
      </c>
      <c r="F117" t="s">
        <v>28</v>
      </c>
      <c r="G117" t="s">
        <v>14</v>
      </c>
      <c r="H117">
        <v>24</v>
      </c>
      <c r="I117" s="2">
        <v>1818</v>
      </c>
      <c r="J117">
        <f t="shared" si="2"/>
        <v>43632</v>
      </c>
      <c r="K117" t="str">
        <f>TEXT(Tabla1[[#This Row],[Fecha]],"MMMM")</f>
        <v>November</v>
      </c>
      <c r="L117" t="str">
        <f>TEXT(Tabla1[[#This Row],[Fecha]],"DD")</f>
        <v>07</v>
      </c>
      <c r="M117" t="str">
        <f>TEXT(Tabla1[[#This Row],[Fecha]],"yyyy")</f>
        <v>2025</v>
      </c>
      <c r="N117">
        <f>MONTH(Tabla1[[#This Row],[Fecha]])</f>
        <v>11</v>
      </c>
      <c r="O117" s="2" t="str">
        <f t="shared" si="3"/>
        <v>T4-25</v>
      </c>
    </row>
    <row r="118" spans="1:15" x14ac:dyDescent="0.25">
      <c r="A118" s="8">
        <v>117</v>
      </c>
      <c r="B118" t="s">
        <v>156</v>
      </c>
      <c r="C118" t="s">
        <v>69</v>
      </c>
      <c r="D118" t="s">
        <v>17</v>
      </c>
      <c r="E118" t="s">
        <v>58</v>
      </c>
      <c r="F118" t="s">
        <v>18</v>
      </c>
      <c r="G118" t="s">
        <v>24</v>
      </c>
      <c r="H118">
        <v>25</v>
      </c>
      <c r="I118" s="2">
        <v>4347</v>
      </c>
      <c r="J118">
        <f t="shared" si="2"/>
        <v>108675</v>
      </c>
      <c r="K118" t="str">
        <f>TEXT(Tabla1[[#This Row],[Fecha]],"MMMM")</f>
        <v>September</v>
      </c>
      <c r="L118" t="str">
        <f>TEXT(Tabla1[[#This Row],[Fecha]],"DD")</f>
        <v>12</v>
      </c>
      <c r="M118" t="str">
        <f>TEXT(Tabla1[[#This Row],[Fecha]],"yyyy")</f>
        <v>2024</v>
      </c>
      <c r="N118">
        <f>MONTH(Tabla1[[#This Row],[Fecha]])</f>
        <v>9</v>
      </c>
      <c r="O118" s="2" t="str">
        <f t="shared" si="3"/>
        <v>T3-24</v>
      </c>
    </row>
    <row r="119" spans="1:15" x14ac:dyDescent="0.25">
      <c r="A119" s="8">
        <v>118</v>
      </c>
      <c r="B119" t="s">
        <v>137</v>
      </c>
      <c r="C119" t="s">
        <v>20</v>
      </c>
      <c r="D119" t="s">
        <v>21</v>
      </c>
      <c r="E119" t="s">
        <v>58</v>
      </c>
      <c r="F119" t="s">
        <v>13</v>
      </c>
      <c r="G119" t="s">
        <v>24</v>
      </c>
      <c r="H119">
        <v>12</v>
      </c>
      <c r="I119" s="2">
        <v>965</v>
      </c>
      <c r="J119">
        <f t="shared" si="2"/>
        <v>11580</v>
      </c>
      <c r="K119" t="str">
        <f>TEXT(Tabla1[[#This Row],[Fecha]],"MMMM")</f>
        <v>October</v>
      </c>
      <c r="L119" t="str">
        <f>TEXT(Tabla1[[#This Row],[Fecha]],"DD")</f>
        <v>12</v>
      </c>
      <c r="M119" t="str">
        <f>TEXT(Tabla1[[#This Row],[Fecha]],"yyyy")</f>
        <v>2025</v>
      </c>
      <c r="N119">
        <f>MONTH(Tabla1[[#This Row],[Fecha]])</f>
        <v>10</v>
      </c>
      <c r="O119" s="2" t="str">
        <f t="shared" si="3"/>
        <v>T4-25</v>
      </c>
    </row>
    <row r="120" spans="1:15" x14ac:dyDescent="0.25">
      <c r="A120" s="8">
        <v>119</v>
      </c>
      <c r="B120" t="s">
        <v>157</v>
      </c>
      <c r="C120" t="s">
        <v>69</v>
      </c>
      <c r="D120" t="s">
        <v>17</v>
      </c>
      <c r="E120" t="s">
        <v>32</v>
      </c>
      <c r="F120" t="s">
        <v>42</v>
      </c>
      <c r="G120" t="s">
        <v>24</v>
      </c>
      <c r="H120">
        <v>6</v>
      </c>
      <c r="I120" s="2">
        <v>3764</v>
      </c>
      <c r="J120">
        <f t="shared" si="2"/>
        <v>22584</v>
      </c>
      <c r="K120" t="str">
        <f>TEXT(Tabla1[[#This Row],[Fecha]],"MMMM")</f>
        <v>August</v>
      </c>
      <c r="L120" t="str">
        <f>TEXT(Tabla1[[#This Row],[Fecha]],"DD")</f>
        <v>20</v>
      </c>
      <c r="M120" t="str">
        <f>TEXT(Tabla1[[#This Row],[Fecha]],"yyyy")</f>
        <v>2023</v>
      </c>
      <c r="N120">
        <f>MONTH(Tabla1[[#This Row],[Fecha]])</f>
        <v>8</v>
      </c>
      <c r="O120" s="2" t="str">
        <f t="shared" si="3"/>
        <v>T3-23</v>
      </c>
    </row>
    <row r="121" spans="1:15" x14ac:dyDescent="0.25">
      <c r="A121" s="8">
        <v>120</v>
      </c>
      <c r="B121" t="s">
        <v>158</v>
      </c>
      <c r="C121" t="s">
        <v>69</v>
      </c>
      <c r="D121" t="s">
        <v>17</v>
      </c>
      <c r="E121" t="s">
        <v>50</v>
      </c>
      <c r="F121" t="s">
        <v>13</v>
      </c>
      <c r="G121" t="s">
        <v>14</v>
      </c>
      <c r="H121">
        <v>19</v>
      </c>
      <c r="I121" s="2">
        <v>3046</v>
      </c>
      <c r="J121">
        <f t="shared" si="2"/>
        <v>57874</v>
      </c>
      <c r="K121" t="str">
        <f>TEXT(Tabla1[[#This Row],[Fecha]],"MMMM")</f>
        <v>July</v>
      </c>
      <c r="L121" t="str">
        <f>TEXT(Tabla1[[#This Row],[Fecha]],"DD")</f>
        <v>24</v>
      </c>
      <c r="M121" t="str">
        <f>TEXT(Tabla1[[#This Row],[Fecha]],"yyyy")</f>
        <v>2025</v>
      </c>
      <c r="N121">
        <f>MONTH(Tabla1[[#This Row],[Fecha]])</f>
        <v>7</v>
      </c>
      <c r="O121" s="2" t="str">
        <f t="shared" si="3"/>
        <v>T3-25</v>
      </c>
    </row>
    <row r="122" spans="1:15" x14ac:dyDescent="0.25">
      <c r="A122" s="8">
        <v>121</v>
      </c>
      <c r="B122" t="s">
        <v>159</v>
      </c>
      <c r="C122" t="s">
        <v>46</v>
      </c>
      <c r="D122" t="s">
        <v>38</v>
      </c>
      <c r="E122" t="s">
        <v>58</v>
      </c>
      <c r="F122" t="s">
        <v>35</v>
      </c>
      <c r="G122" t="s">
        <v>14</v>
      </c>
      <c r="H122">
        <v>10</v>
      </c>
      <c r="I122" s="2">
        <v>2162</v>
      </c>
      <c r="J122">
        <f t="shared" si="2"/>
        <v>21620</v>
      </c>
      <c r="K122" t="str">
        <f>TEXT(Tabla1[[#This Row],[Fecha]],"MMMM")</f>
        <v>August</v>
      </c>
      <c r="L122" t="str">
        <f>TEXT(Tabla1[[#This Row],[Fecha]],"DD")</f>
        <v>08</v>
      </c>
      <c r="M122" t="str">
        <f>TEXT(Tabla1[[#This Row],[Fecha]],"yyyy")</f>
        <v>2024</v>
      </c>
      <c r="N122">
        <f>MONTH(Tabla1[[#This Row],[Fecha]])</f>
        <v>8</v>
      </c>
      <c r="O122" s="2" t="str">
        <f t="shared" si="3"/>
        <v>T3-24</v>
      </c>
    </row>
    <row r="123" spans="1:15" x14ac:dyDescent="0.25">
      <c r="A123" s="8">
        <v>122</v>
      </c>
      <c r="B123" t="s">
        <v>160</v>
      </c>
      <c r="C123" t="s">
        <v>37</v>
      </c>
      <c r="D123" t="s">
        <v>38</v>
      </c>
      <c r="E123" t="s">
        <v>32</v>
      </c>
      <c r="F123" t="s">
        <v>23</v>
      </c>
      <c r="G123" t="s">
        <v>14</v>
      </c>
      <c r="H123">
        <v>21</v>
      </c>
      <c r="I123" s="2">
        <v>2039</v>
      </c>
      <c r="J123">
        <f t="shared" si="2"/>
        <v>42819</v>
      </c>
      <c r="K123" t="str">
        <f>TEXT(Tabla1[[#This Row],[Fecha]],"MMMM")</f>
        <v>December</v>
      </c>
      <c r="L123" t="str">
        <f>TEXT(Tabla1[[#This Row],[Fecha]],"DD")</f>
        <v>04</v>
      </c>
      <c r="M123" t="str">
        <f>TEXT(Tabla1[[#This Row],[Fecha]],"yyyy")</f>
        <v>2024</v>
      </c>
      <c r="N123">
        <f>MONTH(Tabla1[[#This Row],[Fecha]])</f>
        <v>12</v>
      </c>
      <c r="O123" s="2" t="str">
        <f t="shared" si="3"/>
        <v>T4-24</v>
      </c>
    </row>
    <row r="124" spans="1:15" x14ac:dyDescent="0.25">
      <c r="A124" s="8">
        <v>123</v>
      </c>
      <c r="B124" t="s">
        <v>161</v>
      </c>
      <c r="C124" t="s">
        <v>10</v>
      </c>
      <c r="D124" t="s">
        <v>11</v>
      </c>
      <c r="E124" t="s">
        <v>12</v>
      </c>
      <c r="F124" t="s">
        <v>33</v>
      </c>
      <c r="G124" t="s">
        <v>14</v>
      </c>
      <c r="H124">
        <v>25</v>
      </c>
      <c r="I124" s="2">
        <v>2618</v>
      </c>
      <c r="J124">
        <f t="shared" si="2"/>
        <v>65450</v>
      </c>
      <c r="K124" t="str">
        <f>TEXT(Tabla1[[#This Row],[Fecha]],"MMMM")</f>
        <v>May</v>
      </c>
      <c r="L124" t="str">
        <f>TEXT(Tabla1[[#This Row],[Fecha]],"DD")</f>
        <v>11</v>
      </c>
      <c r="M124" t="str">
        <f>TEXT(Tabla1[[#This Row],[Fecha]],"yyyy")</f>
        <v>2025</v>
      </c>
      <c r="N124">
        <f>MONTH(Tabla1[[#This Row],[Fecha]])</f>
        <v>5</v>
      </c>
      <c r="O124" s="2" t="str">
        <f t="shared" si="3"/>
        <v>T2-25</v>
      </c>
    </row>
    <row r="125" spans="1:15" x14ac:dyDescent="0.25">
      <c r="A125" s="8">
        <v>124</v>
      </c>
      <c r="B125" t="s">
        <v>51</v>
      </c>
      <c r="C125" t="s">
        <v>30</v>
      </c>
      <c r="D125" t="s">
        <v>17</v>
      </c>
      <c r="E125" t="s">
        <v>61</v>
      </c>
      <c r="F125" t="s">
        <v>35</v>
      </c>
      <c r="G125" t="s">
        <v>24</v>
      </c>
      <c r="H125">
        <v>10</v>
      </c>
      <c r="I125" s="2">
        <v>1308</v>
      </c>
      <c r="J125">
        <f t="shared" si="2"/>
        <v>13080</v>
      </c>
      <c r="K125" t="str">
        <f>TEXT(Tabla1[[#This Row],[Fecha]],"MMMM")</f>
        <v>January</v>
      </c>
      <c r="L125" t="str">
        <f>TEXT(Tabla1[[#This Row],[Fecha]],"DD")</f>
        <v>13</v>
      </c>
      <c r="M125" t="str">
        <f>TEXT(Tabla1[[#This Row],[Fecha]],"yyyy")</f>
        <v>2025</v>
      </c>
      <c r="N125">
        <f>MONTH(Tabla1[[#This Row],[Fecha]])</f>
        <v>1</v>
      </c>
      <c r="O125" s="2" t="str">
        <f t="shared" si="3"/>
        <v>T1-25</v>
      </c>
    </row>
    <row r="126" spans="1:15" x14ac:dyDescent="0.25">
      <c r="A126" s="8">
        <v>125</v>
      </c>
      <c r="B126" t="s">
        <v>162</v>
      </c>
      <c r="C126" t="s">
        <v>20</v>
      </c>
      <c r="D126" t="s">
        <v>21</v>
      </c>
      <c r="E126" t="s">
        <v>41</v>
      </c>
      <c r="F126" t="s">
        <v>42</v>
      </c>
      <c r="G126" t="s">
        <v>24</v>
      </c>
      <c r="H126">
        <v>4</v>
      </c>
      <c r="I126" s="2">
        <v>1928</v>
      </c>
      <c r="J126">
        <f t="shared" si="2"/>
        <v>7712</v>
      </c>
      <c r="K126" t="str">
        <f>TEXT(Tabla1[[#This Row],[Fecha]],"MMMM")</f>
        <v>April</v>
      </c>
      <c r="L126" t="str">
        <f>TEXT(Tabla1[[#This Row],[Fecha]],"DD")</f>
        <v>14</v>
      </c>
      <c r="M126" t="str">
        <f>TEXT(Tabla1[[#This Row],[Fecha]],"yyyy")</f>
        <v>2023</v>
      </c>
      <c r="N126">
        <f>MONTH(Tabla1[[#This Row],[Fecha]])</f>
        <v>4</v>
      </c>
      <c r="O126" s="2" t="str">
        <f t="shared" si="3"/>
        <v>T2-23</v>
      </c>
    </row>
    <row r="127" spans="1:15" x14ac:dyDescent="0.25">
      <c r="A127" s="8">
        <v>126</v>
      </c>
      <c r="B127" t="s">
        <v>163</v>
      </c>
      <c r="C127" t="s">
        <v>10</v>
      </c>
      <c r="D127" t="s">
        <v>11</v>
      </c>
      <c r="E127" t="s">
        <v>22</v>
      </c>
      <c r="F127" t="s">
        <v>13</v>
      </c>
      <c r="G127" t="s">
        <v>24</v>
      </c>
      <c r="H127">
        <v>19</v>
      </c>
      <c r="I127" s="2">
        <v>3732</v>
      </c>
      <c r="J127">
        <f t="shared" si="2"/>
        <v>70908</v>
      </c>
      <c r="K127" t="str">
        <f>TEXT(Tabla1[[#This Row],[Fecha]],"MMMM")</f>
        <v>January</v>
      </c>
      <c r="L127" t="str">
        <f>TEXT(Tabla1[[#This Row],[Fecha]],"DD")</f>
        <v>25</v>
      </c>
      <c r="M127" t="str">
        <f>TEXT(Tabla1[[#This Row],[Fecha]],"yyyy")</f>
        <v>2023</v>
      </c>
      <c r="N127">
        <f>MONTH(Tabla1[[#This Row],[Fecha]])</f>
        <v>1</v>
      </c>
      <c r="O127" s="2" t="str">
        <f t="shared" si="3"/>
        <v>T1-23</v>
      </c>
    </row>
    <row r="128" spans="1:15" x14ac:dyDescent="0.25">
      <c r="A128" s="8">
        <v>127</v>
      </c>
      <c r="B128" t="s">
        <v>164</v>
      </c>
      <c r="C128" t="s">
        <v>10</v>
      </c>
      <c r="D128" t="s">
        <v>11</v>
      </c>
      <c r="E128" t="s">
        <v>44</v>
      </c>
      <c r="F128" t="s">
        <v>42</v>
      </c>
      <c r="G128" t="s">
        <v>14</v>
      </c>
      <c r="H128">
        <v>6</v>
      </c>
      <c r="I128" s="2">
        <v>3272</v>
      </c>
      <c r="J128">
        <f t="shared" si="2"/>
        <v>19632</v>
      </c>
      <c r="K128" t="str">
        <f>TEXT(Tabla1[[#This Row],[Fecha]],"MMMM")</f>
        <v>November</v>
      </c>
      <c r="L128" t="str">
        <f>TEXT(Tabla1[[#This Row],[Fecha]],"DD")</f>
        <v>20</v>
      </c>
      <c r="M128" t="str">
        <f>TEXT(Tabla1[[#This Row],[Fecha]],"yyyy")</f>
        <v>2024</v>
      </c>
      <c r="N128">
        <f>MONTH(Tabla1[[#This Row],[Fecha]])</f>
        <v>11</v>
      </c>
      <c r="O128" s="2" t="str">
        <f t="shared" si="3"/>
        <v>T4-24</v>
      </c>
    </row>
    <row r="129" spans="1:15" x14ac:dyDescent="0.25">
      <c r="A129" s="8">
        <v>128</v>
      </c>
      <c r="B129" t="s">
        <v>165</v>
      </c>
      <c r="C129" t="s">
        <v>37</v>
      </c>
      <c r="D129" t="s">
        <v>38</v>
      </c>
      <c r="E129" t="s">
        <v>44</v>
      </c>
      <c r="F129" t="s">
        <v>18</v>
      </c>
      <c r="G129" t="s">
        <v>24</v>
      </c>
      <c r="H129">
        <v>24</v>
      </c>
      <c r="I129" s="2">
        <v>807</v>
      </c>
      <c r="J129">
        <f t="shared" si="2"/>
        <v>19368</v>
      </c>
      <c r="K129" t="str">
        <f>TEXT(Tabla1[[#This Row],[Fecha]],"MMMM")</f>
        <v>July</v>
      </c>
      <c r="L129" t="str">
        <f>TEXT(Tabla1[[#This Row],[Fecha]],"DD")</f>
        <v>06</v>
      </c>
      <c r="M129" t="str">
        <f>TEXT(Tabla1[[#This Row],[Fecha]],"yyyy")</f>
        <v>2025</v>
      </c>
      <c r="N129">
        <f>MONTH(Tabla1[[#This Row],[Fecha]])</f>
        <v>7</v>
      </c>
      <c r="O129" s="2" t="str">
        <f t="shared" si="3"/>
        <v>T3-25</v>
      </c>
    </row>
    <row r="130" spans="1:15" x14ac:dyDescent="0.25">
      <c r="A130" s="8">
        <v>129</v>
      </c>
      <c r="B130" t="s">
        <v>166</v>
      </c>
      <c r="C130" t="s">
        <v>37</v>
      </c>
      <c r="D130" t="s">
        <v>38</v>
      </c>
      <c r="E130" t="s">
        <v>41</v>
      </c>
      <c r="F130" t="s">
        <v>33</v>
      </c>
      <c r="G130" t="s">
        <v>14</v>
      </c>
      <c r="H130">
        <v>9</v>
      </c>
      <c r="I130" s="2">
        <v>4861</v>
      </c>
      <c r="J130">
        <f t="shared" ref="J130:J193" si="4">I130*H130</f>
        <v>43749</v>
      </c>
      <c r="K130" t="str">
        <f>TEXT(Tabla1[[#This Row],[Fecha]],"MMMM")</f>
        <v>October</v>
      </c>
      <c r="L130" t="str">
        <f>TEXT(Tabla1[[#This Row],[Fecha]],"DD")</f>
        <v>11</v>
      </c>
      <c r="M130" t="str">
        <f>TEXT(Tabla1[[#This Row],[Fecha]],"yyyy")</f>
        <v>2024</v>
      </c>
      <c r="N130">
        <f>MONTH(Tabla1[[#This Row],[Fecha]])</f>
        <v>10</v>
      </c>
      <c r="O130" s="2" t="str">
        <f t="shared" ref="O130:O193" si="5">"T"&amp;ROUNDUP(MONTH(B130)/3,0)&amp;"-"&amp;RIGHT(YEAR(B130),2)</f>
        <v>T4-24</v>
      </c>
    </row>
    <row r="131" spans="1:15" x14ac:dyDescent="0.25">
      <c r="A131" s="8">
        <v>130</v>
      </c>
      <c r="B131" t="s">
        <v>167</v>
      </c>
      <c r="C131" t="s">
        <v>37</v>
      </c>
      <c r="D131" t="s">
        <v>38</v>
      </c>
      <c r="E131" t="s">
        <v>61</v>
      </c>
      <c r="F131" t="s">
        <v>13</v>
      </c>
      <c r="G131" t="s">
        <v>14</v>
      </c>
      <c r="H131">
        <v>7</v>
      </c>
      <c r="I131" s="2">
        <v>3509</v>
      </c>
      <c r="J131">
        <f t="shared" si="4"/>
        <v>24563</v>
      </c>
      <c r="K131" t="str">
        <f>TEXT(Tabla1[[#This Row],[Fecha]],"MMMM")</f>
        <v>March</v>
      </c>
      <c r="L131" t="str">
        <f>TEXT(Tabla1[[#This Row],[Fecha]],"DD")</f>
        <v>02</v>
      </c>
      <c r="M131" t="str">
        <f>TEXT(Tabla1[[#This Row],[Fecha]],"yyyy")</f>
        <v>2024</v>
      </c>
      <c r="N131">
        <f>MONTH(Tabla1[[#This Row],[Fecha]])</f>
        <v>3</v>
      </c>
      <c r="O131" s="2" t="str">
        <f t="shared" si="5"/>
        <v>T1-24</v>
      </c>
    </row>
    <row r="132" spans="1:15" x14ac:dyDescent="0.25">
      <c r="A132" s="8">
        <v>131</v>
      </c>
      <c r="B132" t="s">
        <v>168</v>
      </c>
      <c r="C132" t="s">
        <v>49</v>
      </c>
      <c r="D132" t="s">
        <v>21</v>
      </c>
      <c r="E132" t="s">
        <v>61</v>
      </c>
      <c r="F132" t="s">
        <v>33</v>
      </c>
      <c r="G132" t="s">
        <v>24</v>
      </c>
      <c r="H132">
        <v>4</v>
      </c>
      <c r="I132" s="2">
        <v>3328</v>
      </c>
      <c r="J132">
        <f t="shared" si="4"/>
        <v>13312</v>
      </c>
      <c r="K132" t="str">
        <f>TEXT(Tabla1[[#This Row],[Fecha]],"MMMM")</f>
        <v>November</v>
      </c>
      <c r="L132" t="str">
        <f>TEXT(Tabla1[[#This Row],[Fecha]],"DD")</f>
        <v>16</v>
      </c>
      <c r="M132" t="str">
        <f>TEXT(Tabla1[[#This Row],[Fecha]],"yyyy")</f>
        <v>2023</v>
      </c>
      <c r="N132">
        <f>MONTH(Tabla1[[#This Row],[Fecha]])</f>
        <v>11</v>
      </c>
      <c r="O132" s="2" t="str">
        <f t="shared" si="5"/>
        <v>T4-23</v>
      </c>
    </row>
    <row r="133" spans="1:15" x14ac:dyDescent="0.25">
      <c r="A133" s="8">
        <v>132</v>
      </c>
      <c r="B133" t="s">
        <v>169</v>
      </c>
      <c r="C133" t="s">
        <v>46</v>
      </c>
      <c r="D133" t="s">
        <v>38</v>
      </c>
      <c r="E133" t="s">
        <v>61</v>
      </c>
      <c r="F133" t="s">
        <v>42</v>
      </c>
      <c r="G133" t="s">
        <v>24</v>
      </c>
      <c r="H133">
        <v>16</v>
      </c>
      <c r="I133" s="2">
        <v>2076</v>
      </c>
      <c r="J133">
        <f t="shared" si="4"/>
        <v>33216</v>
      </c>
      <c r="K133" t="str">
        <f>TEXT(Tabla1[[#This Row],[Fecha]],"MMMM")</f>
        <v>August</v>
      </c>
      <c r="L133" t="str">
        <f>TEXT(Tabla1[[#This Row],[Fecha]],"DD")</f>
        <v>05</v>
      </c>
      <c r="M133" t="str">
        <f>TEXT(Tabla1[[#This Row],[Fecha]],"yyyy")</f>
        <v>2024</v>
      </c>
      <c r="N133">
        <f>MONTH(Tabla1[[#This Row],[Fecha]])</f>
        <v>8</v>
      </c>
      <c r="O133" s="2" t="str">
        <f t="shared" si="5"/>
        <v>T3-24</v>
      </c>
    </row>
    <row r="134" spans="1:15" x14ac:dyDescent="0.25">
      <c r="A134" s="8">
        <v>133</v>
      </c>
      <c r="B134" t="s">
        <v>170</v>
      </c>
      <c r="C134" t="s">
        <v>16</v>
      </c>
      <c r="D134" t="s">
        <v>17</v>
      </c>
      <c r="E134" t="s">
        <v>32</v>
      </c>
      <c r="F134" t="s">
        <v>28</v>
      </c>
      <c r="G134" t="s">
        <v>24</v>
      </c>
      <c r="H134">
        <v>5</v>
      </c>
      <c r="I134" s="2">
        <v>2442</v>
      </c>
      <c r="J134">
        <f t="shared" si="4"/>
        <v>12210</v>
      </c>
      <c r="K134" t="str">
        <f>TEXT(Tabla1[[#This Row],[Fecha]],"MMMM")</f>
        <v>January</v>
      </c>
      <c r="L134" t="str">
        <f>TEXT(Tabla1[[#This Row],[Fecha]],"DD")</f>
        <v>15</v>
      </c>
      <c r="M134" t="str">
        <f>TEXT(Tabla1[[#This Row],[Fecha]],"yyyy")</f>
        <v>2025</v>
      </c>
      <c r="N134">
        <f>MONTH(Tabla1[[#This Row],[Fecha]])</f>
        <v>1</v>
      </c>
      <c r="O134" s="2" t="str">
        <f t="shared" si="5"/>
        <v>T1-25</v>
      </c>
    </row>
    <row r="135" spans="1:15" x14ac:dyDescent="0.25">
      <c r="A135" s="8">
        <v>134</v>
      </c>
      <c r="B135" t="s">
        <v>171</v>
      </c>
      <c r="C135" t="s">
        <v>16</v>
      </c>
      <c r="D135" t="s">
        <v>17</v>
      </c>
      <c r="E135" t="s">
        <v>12</v>
      </c>
      <c r="F135" t="s">
        <v>33</v>
      </c>
      <c r="G135" t="s">
        <v>24</v>
      </c>
      <c r="H135">
        <v>14</v>
      </c>
      <c r="I135" s="2">
        <v>2527</v>
      </c>
      <c r="J135">
        <f t="shared" si="4"/>
        <v>35378</v>
      </c>
      <c r="K135" t="str">
        <f>TEXT(Tabla1[[#This Row],[Fecha]],"MMMM")</f>
        <v>October</v>
      </c>
      <c r="L135" t="str">
        <f>TEXT(Tabla1[[#This Row],[Fecha]],"DD")</f>
        <v>23</v>
      </c>
      <c r="M135" t="str">
        <f>TEXT(Tabla1[[#This Row],[Fecha]],"yyyy")</f>
        <v>2023</v>
      </c>
      <c r="N135">
        <f>MONTH(Tabla1[[#This Row],[Fecha]])</f>
        <v>10</v>
      </c>
      <c r="O135" s="2" t="str">
        <f t="shared" si="5"/>
        <v>T4-23</v>
      </c>
    </row>
    <row r="136" spans="1:15" x14ac:dyDescent="0.25">
      <c r="A136" s="8">
        <v>135</v>
      </c>
      <c r="B136" t="s">
        <v>172</v>
      </c>
      <c r="C136" t="s">
        <v>30</v>
      </c>
      <c r="D136" t="s">
        <v>17</v>
      </c>
      <c r="E136" t="s">
        <v>61</v>
      </c>
      <c r="F136" t="s">
        <v>42</v>
      </c>
      <c r="G136" t="s">
        <v>14</v>
      </c>
      <c r="H136">
        <v>24</v>
      </c>
      <c r="I136" s="2">
        <v>1783</v>
      </c>
      <c r="J136">
        <f t="shared" si="4"/>
        <v>42792</v>
      </c>
      <c r="K136" t="str">
        <f>TEXT(Tabla1[[#This Row],[Fecha]],"MMMM")</f>
        <v>January</v>
      </c>
      <c r="L136" t="str">
        <f>TEXT(Tabla1[[#This Row],[Fecha]],"DD")</f>
        <v>22</v>
      </c>
      <c r="M136" t="str">
        <f>TEXT(Tabla1[[#This Row],[Fecha]],"yyyy")</f>
        <v>2023</v>
      </c>
      <c r="N136">
        <f>MONTH(Tabla1[[#This Row],[Fecha]])</f>
        <v>1</v>
      </c>
      <c r="O136" s="2" t="str">
        <f t="shared" si="5"/>
        <v>T1-23</v>
      </c>
    </row>
    <row r="137" spans="1:15" x14ac:dyDescent="0.25">
      <c r="A137" s="8">
        <v>136</v>
      </c>
      <c r="B137" t="s">
        <v>163</v>
      </c>
      <c r="C137" t="s">
        <v>10</v>
      </c>
      <c r="D137" t="s">
        <v>11</v>
      </c>
      <c r="E137" t="s">
        <v>72</v>
      </c>
      <c r="F137" t="s">
        <v>42</v>
      </c>
      <c r="G137" t="s">
        <v>14</v>
      </c>
      <c r="H137">
        <v>5</v>
      </c>
      <c r="I137" s="2">
        <v>1620</v>
      </c>
      <c r="J137">
        <f t="shared" si="4"/>
        <v>8100</v>
      </c>
      <c r="K137" t="str">
        <f>TEXT(Tabla1[[#This Row],[Fecha]],"MMMM")</f>
        <v>January</v>
      </c>
      <c r="L137" t="str">
        <f>TEXT(Tabla1[[#This Row],[Fecha]],"DD")</f>
        <v>25</v>
      </c>
      <c r="M137" t="str">
        <f>TEXT(Tabla1[[#This Row],[Fecha]],"yyyy")</f>
        <v>2023</v>
      </c>
      <c r="N137">
        <f>MONTH(Tabla1[[#This Row],[Fecha]])</f>
        <v>1</v>
      </c>
      <c r="O137" s="2" t="str">
        <f t="shared" si="5"/>
        <v>T1-23</v>
      </c>
    </row>
    <row r="138" spans="1:15" x14ac:dyDescent="0.25">
      <c r="A138" s="8">
        <v>137</v>
      </c>
      <c r="B138" t="s">
        <v>111</v>
      </c>
      <c r="C138" t="s">
        <v>20</v>
      </c>
      <c r="D138" t="s">
        <v>21</v>
      </c>
      <c r="E138" t="s">
        <v>50</v>
      </c>
      <c r="F138" t="s">
        <v>35</v>
      </c>
      <c r="G138" t="s">
        <v>24</v>
      </c>
      <c r="H138">
        <v>20</v>
      </c>
      <c r="I138" s="2">
        <v>2197</v>
      </c>
      <c r="J138">
        <f t="shared" si="4"/>
        <v>43940</v>
      </c>
      <c r="K138" t="str">
        <f>TEXT(Tabla1[[#This Row],[Fecha]],"MMMM")</f>
        <v>September</v>
      </c>
      <c r="L138" t="str">
        <f>TEXT(Tabla1[[#This Row],[Fecha]],"DD")</f>
        <v>04</v>
      </c>
      <c r="M138" t="str">
        <f>TEXT(Tabla1[[#This Row],[Fecha]],"yyyy")</f>
        <v>2023</v>
      </c>
      <c r="N138">
        <f>MONTH(Tabla1[[#This Row],[Fecha]])</f>
        <v>9</v>
      </c>
      <c r="O138" s="2" t="str">
        <f t="shared" si="5"/>
        <v>T3-23</v>
      </c>
    </row>
    <row r="139" spans="1:15" x14ac:dyDescent="0.25">
      <c r="A139" s="8">
        <v>138</v>
      </c>
      <c r="B139" t="s">
        <v>173</v>
      </c>
      <c r="C139" t="s">
        <v>30</v>
      </c>
      <c r="D139" t="s">
        <v>17</v>
      </c>
      <c r="E139" t="s">
        <v>12</v>
      </c>
      <c r="F139" t="s">
        <v>28</v>
      </c>
      <c r="G139" t="s">
        <v>14</v>
      </c>
      <c r="H139">
        <v>24</v>
      </c>
      <c r="I139" s="2">
        <v>121</v>
      </c>
      <c r="J139">
        <f t="shared" si="4"/>
        <v>2904</v>
      </c>
      <c r="K139" t="str">
        <f>TEXT(Tabla1[[#This Row],[Fecha]],"MMMM")</f>
        <v>October</v>
      </c>
      <c r="L139" t="str">
        <f>TEXT(Tabla1[[#This Row],[Fecha]],"DD")</f>
        <v>06</v>
      </c>
      <c r="M139" t="str">
        <f>TEXT(Tabla1[[#This Row],[Fecha]],"yyyy")</f>
        <v>2024</v>
      </c>
      <c r="N139">
        <f>MONTH(Tabla1[[#This Row],[Fecha]])</f>
        <v>10</v>
      </c>
      <c r="O139" s="2" t="str">
        <f t="shared" si="5"/>
        <v>T4-24</v>
      </c>
    </row>
    <row r="140" spans="1:15" x14ac:dyDescent="0.25">
      <c r="A140" s="8">
        <v>139</v>
      </c>
      <c r="B140" t="s">
        <v>174</v>
      </c>
      <c r="C140" t="s">
        <v>16</v>
      </c>
      <c r="D140" t="s">
        <v>17</v>
      </c>
      <c r="E140" t="s">
        <v>32</v>
      </c>
      <c r="F140" t="s">
        <v>42</v>
      </c>
      <c r="G140" t="s">
        <v>14</v>
      </c>
      <c r="H140">
        <v>16</v>
      </c>
      <c r="I140" s="2">
        <v>1647</v>
      </c>
      <c r="J140">
        <f t="shared" si="4"/>
        <v>26352</v>
      </c>
      <c r="K140" t="str">
        <f>TEXT(Tabla1[[#This Row],[Fecha]],"MMMM")</f>
        <v>January</v>
      </c>
      <c r="L140" t="str">
        <f>TEXT(Tabla1[[#This Row],[Fecha]],"DD")</f>
        <v>10</v>
      </c>
      <c r="M140" t="str">
        <f>TEXT(Tabla1[[#This Row],[Fecha]],"yyyy")</f>
        <v>2024</v>
      </c>
      <c r="N140">
        <f>MONTH(Tabla1[[#This Row],[Fecha]])</f>
        <v>1</v>
      </c>
      <c r="O140" s="2" t="str">
        <f t="shared" si="5"/>
        <v>T1-24</v>
      </c>
    </row>
    <row r="141" spans="1:15" x14ac:dyDescent="0.25">
      <c r="A141" s="8">
        <v>140</v>
      </c>
      <c r="B141" t="s">
        <v>175</v>
      </c>
      <c r="C141" t="s">
        <v>49</v>
      </c>
      <c r="D141" t="s">
        <v>21</v>
      </c>
      <c r="E141" t="s">
        <v>41</v>
      </c>
      <c r="F141" t="s">
        <v>23</v>
      </c>
      <c r="G141" t="s">
        <v>24</v>
      </c>
      <c r="H141">
        <v>5</v>
      </c>
      <c r="I141" s="2">
        <v>2962</v>
      </c>
      <c r="J141">
        <f t="shared" si="4"/>
        <v>14810</v>
      </c>
      <c r="K141" t="str">
        <f>TEXT(Tabla1[[#This Row],[Fecha]],"MMMM")</f>
        <v>August</v>
      </c>
      <c r="L141" t="str">
        <f>TEXT(Tabla1[[#This Row],[Fecha]],"DD")</f>
        <v>09</v>
      </c>
      <c r="M141" t="str">
        <f>TEXT(Tabla1[[#This Row],[Fecha]],"yyyy")</f>
        <v>2024</v>
      </c>
      <c r="N141">
        <f>MONTH(Tabla1[[#This Row],[Fecha]])</f>
        <v>8</v>
      </c>
      <c r="O141" s="2" t="str">
        <f t="shared" si="5"/>
        <v>T3-24</v>
      </c>
    </row>
    <row r="142" spans="1:15" x14ac:dyDescent="0.25">
      <c r="A142" s="8">
        <v>141</v>
      </c>
      <c r="B142" t="s">
        <v>176</v>
      </c>
      <c r="C142" t="s">
        <v>10</v>
      </c>
      <c r="D142" t="s">
        <v>11</v>
      </c>
      <c r="E142" t="s">
        <v>44</v>
      </c>
      <c r="F142" t="s">
        <v>13</v>
      </c>
      <c r="G142" t="s">
        <v>24</v>
      </c>
      <c r="H142">
        <v>18</v>
      </c>
      <c r="I142" s="2">
        <v>1369</v>
      </c>
      <c r="J142">
        <f t="shared" si="4"/>
        <v>24642</v>
      </c>
      <c r="K142" t="str">
        <f>TEXT(Tabla1[[#This Row],[Fecha]],"MMMM")</f>
        <v>December</v>
      </c>
      <c r="L142" t="str">
        <f>TEXT(Tabla1[[#This Row],[Fecha]],"DD")</f>
        <v>09</v>
      </c>
      <c r="M142" t="str">
        <f>TEXT(Tabla1[[#This Row],[Fecha]],"yyyy")</f>
        <v>2024</v>
      </c>
      <c r="N142">
        <f>MONTH(Tabla1[[#This Row],[Fecha]])</f>
        <v>12</v>
      </c>
      <c r="O142" s="2" t="str">
        <f t="shared" si="5"/>
        <v>T4-24</v>
      </c>
    </row>
    <row r="143" spans="1:15" x14ac:dyDescent="0.25">
      <c r="A143" s="8">
        <v>142</v>
      </c>
      <c r="B143" t="s">
        <v>177</v>
      </c>
      <c r="C143" t="s">
        <v>26</v>
      </c>
      <c r="D143" t="s">
        <v>27</v>
      </c>
      <c r="E143" t="s">
        <v>58</v>
      </c>
      <c r="F143" t="s">
        <v>23</v>
      </c>
      <c r="G143" t="s">
        <v>24</v>
      </c>
      <c r="H143">
        <v>22</v>
      </c>
      <c r="I143" s="2">
        <v>2229</v>
      </c>
      <c r="J143">
        <f t="shared" si="4"/>
        <v>49038</v>
      </c>
      <c r="K143" t="str">
        <f>TEXT(Tabla1[[#This Row],[Fecha]],"MMMM")</f>
        <v>November</v>
      </c>
      <c r="L143" t="str">
        <f>TEXT(Tabla1[[#This Row],[Fecha]],"DD")</f>
        <v>05</v>
      </c>
      <c r="M143" t="str">
        <f>TEXT(Tabla1[[#This Row],[Fecha]],"yyyy")</f>
        <v>2023</v>
      </c>
      <c r="N143">
        <f>MONTH(Tabla1[[#This Row],[Fecha]])</f>
        <v>11</v>
      </c>
      <c r="O143" s="2" t="str">
        <f t="shared" si="5"/>
        <v>T4-23</v>
      </c>
    </row>
    <row r="144" spans="1:15" x14ac:dyDescent="0.25">
      <c r="A144" s="8">
        <v>143</v>
      </c>
      <c r="B144" t="s">
        <v>48</v>
      </c>
      <c r="C144" t="s">
        <v>69</v>
      </c>
      <c r="D144" t="s">
        <v>17</v>
      </c>
      <c r="E144" t="s">
        <v>61</v>
      </c>
      <c r="F144" t="s">
        <v>28</v>
      </c>
      <c r="G144" t="s">
        <v>24</v>
      </c>
      <c r="H144">
        <v>7</v>
      </c>
      <c r="I144" s="2">
        <v>3066</v>
      </c>
      <c r="J144">
        <f t="shared" si="4"/>
        <v>21462</v>
      </c>
      <c r="K144" t="str">
        <f>TEXT(Tabla1[[#This Row],[Fecha]],"MMMM")</f>
        <v>April</v>
      </c>
      <c r="L144" t="str">
        <f>TEXT(Tabla1[[#This Row],[Fecha]],"DD")</f>
        <v>29</v>
      </c>
      <c r="M144" t="str">
        <f>TEXT(Tabla1[[#This Row],[Fecha]],"yyyy")</f>
        <v>2025</v>
      </c>
      <c r="N144">
        <f>MONTH(Tabla1[[#This Row],[Fecha]])</f>
        <v>4</v>
      </c>
      <c r="O144" s="2" t="str">
        <f t="shared" si="5"/>
        <v>T2-25</v>
      </c>
    </row>
    <row r="145" spans="1:15" x14ac:dyDescent="0.25">
      <c r="A145" s="8">
        <v>144</v>
      </c>
      <c r="B145" t="s">
        <v>178</v>
      </c>
      <c r="C145" t="s">
        <v>16</v>
      </c>
      <c r="D145" t="s">
        <v>17</v>
      </c>
      <c r="E145" t="s">
        <v>12</v>
      </c>
      <c r="F145" t="s">
        <v>28</v>
      </c>
      <c r="G145" t="s">
        <v>24</v>
      </c>
      <c r="H145">
        <v>3</v>
      </c>
      <c r="I145" s="2">
        <v>866</v>
      </c>
      <c r="J145">
        <f t="shared" si="4"/>
        <v>2598</v>
      </c>
      <c r="K145" t="str">
        <f>TEXT(Tabla1[[#This Row],[Fecha]],"MMMM")</f>
        <v>April</v>
      </c>
      <c r="L145" t="str">
        <f>TEXT(Tabla1[[#This Row],[Fecha]],"DD")</f>
        <v>04</v>
      </c>
      <c r="M145" t="str">
        <f>TEXT(Tabla1[[#This Row],[Fecha]],"yyyy")</f>
        <v>2024</v>
      </c>
      <c r="N145">
        <f>MONTH(Tabla1[[#This Row],[Fecha]])</f>
        <v>4</v>
      </c>
      <c r="O145" s="2" t="str">
        <f t="shared" si="5"/>
        <v>T2-24</v>
      </c>
    </row>
    <row r="146" spans="1:15" x14ac:dyDescent="0.25">
      <c r="A146" s="8">
        <v>145</v>
      </c>
      <c r="B146" t="s">
        <v>179</v>
      </c>
      <c r="C146" t="s">
        <v>20</v>
      </c>
      <c r="D146" t="s">
        <v>21</v>
      </c>
      <c r="E146" t="s">
        <v>52</v>
      </c>
      <c r="F146" t="s">
        <v>18</v>
      </c>
      <c r="G146" t="s">
        <v>24</v>
      </c>
      <c r="H146">
        <v>7</v>
      </c>
      <c r="I146" s="2">
        <v>2899</v>
      </c>
      <c r="J146">
        <f t="shared" si="4"/>
        <v>20293</v>
      </c>
      <c r="K146" t="str">
        <f>TEXT(Tabla1[[#This Row],[Fecha]],"MMMM")</f>
        <v>December</v>
      </c>
      <c r="L146" t="str">
        <f>TEXT(Tabla1[[#This Row],[Fecha]],"DD")</f>
        <v>07</v>
      </c>
      <c r="M146" t="str">
        <f>TEXT(Tabla1[[#This Row],[Fecha]],"yyyy")</f>
        <v>2023</v>
      </c>
      <c r="N146">
        <f>MONTH(Tabla1[[#This Row],[Fecha]])</f>
        <v>12</v>
      </c>
      <c r="O146" s="2" t="str">
        <f t="shared" si="5"/>
        <v>T4-23</v>
      </c>
    </row>
    <row r="147" spans="1:15" x14ac:dyDescent="0.25">
      <c r="A147" s="8">
        <v>146</v>
      </c>
      <c r="B147" t="s">
        <v>180</v>
      </c>
      <c r="C147" t="s">
        <v>20</v>
      </c>
      <c r="D147" t="s">
        <v>21</v>
      </c>
      <c r="E147" t="s">
        <v>50</v>
      </c>
      <c r="F147" t="s">
        <v>42</v>
      </c>
      <c r="G147" t="s">
        <v>14</v>
      </c>
      <c r="H147">
        <v>5</v>
      </c>
      <c r="I147" s="2">
        <v>4067</v>
      </c>
      <c r="J147">
        <f t="shared" si="4"/>
        <v>20335</v>
      </c>
      <c r="K147" t="str">
        <f>TEXT(Tabla1[[#This Row],[Fecha]],"MMMM")</f>
        <v>April</v>
      </c>
      <c r="L147" t="str">
        <f>TEXT(Tabla1[[#This Row],[Fecha]],"DD")</f>
        <v>21</v>
      </c>
      <c r="M147" t="str">
        <f>TEXT(Tabla1[[#This Row],[Fecha]],"yyyy")</f>
        <v>2025</v>
      </c>
      <c r="N147">
        <f>MONTH(Tabla1[[#This Row],[Fecha]])</f>
        <v>4</v>
      </c>
      <c r="O147" s="2" t="str">
        <f t="shared" si="5"/>
        <v>T2-25</v>
      </c>
    </row>
    <row r="148" spans="1:15" x14ac:dyDescent="0.25">
      <c r="A148" s="8">
        <v>147</v>
      </c>
      <c r="B148" t="s">
        <v>181</v>
      </c>
      <c r="C148" t="s">
        <v>49</v>
      </c>
      <c r="D148" t="s">
        <v>21</v>
      </c>
      <c r="E148" t="s">
        <v>50</v>
      </c>
      <c r="F148" t="s">
        <v>28</v>
      </c>
      <c r="G148" t="s">
        <v>14</v>
      </c>
      <c r="H148">
        <v>19</v>
      </c>
      <c r="I148" s="2">
        <v>1407</v>
      </c>
      <c r="J148">
        <f t="shared" si="4"/>
        <v>26733</v>
      </c>
      <c r="K148" t="str">
        <f>TEXT(Tabla1[[#This Row],[Fecha]],"MMMM")</f>
        <v>March</v>
      </c>
      <c r="L148" t="str">
        <f>TEXT(Tabla1[[#This Row],[Fecha]],"DD")</f>
        <v>11</v>
      </c>
      <c r="M148" t="str">
        <f>TEXT(Tabla1[[#This Row],[Fecha]],"yyyy")</f>
        <v>2023</v>
      </c>
      <c r="N148">
        <f>MONTH(Tabla1[[#This Row],[Fecha]])</f>
        <v>3</v>
      </c>
      <c r="O148" s="2" t="str">
        <f t="shared" si="5"/>
        <v>T1-23</v>
      </c>
    </row>
    <row r="149" spans="1:15" x14ac:dyDescent="0.25">
      <c r="A149" s="8">
        <v>148</v>
      </c>
      <c r="B149" t="s">
        <v>182</v>
      </c>
      <c r="C149" t="s">
        <v>69</v>
      </c>
      <c r="D149" t="s">
        <v>17</v>
      </c>
      <c r="E149" t="s">
        <v>32</v>
      </c>
      <c r="F149" t="s">
        <v>33</v>
      </c>
      <c r="G149" t="s">
        <v>14</v>
      </c>
      <c r="H149">
        <v>1</v>
      </c>
      <c r="I149" s="2">
        <v>817</v>
      </c>
      <c r="J149">
        <f t="shared" si="4"/>
        <v>817</v>
      </c>
      <c r="K149" t="str">
        <f>TEXT(Tabla1[[#This Row],[Fecha]],"MMMM")</f>
        <v>May</v>
      </c>
      <c r="L149" t="str">
        <f>TEXT(Tabla1[[#This Row],[Fecha]],"DD")</f>
        <v>14</v>
      </c>
      <c r="M149" t="str">
        <f>TEXT(Tabla1[[#This Row],[Fecha]],"yyyy")</f>
        <v>2025</v>
      </c>
      <c r="N149">
        <f>MONTH(Tabla1[[#This Row],[Fecha]])</f>
        <v>5</v>
      </c>
      <c r="O149" s="2" t="str">
        <f t="shared" si="5"/>
        <v>T2-25</v>
      </c>
    </row>
    <row r="150" spans="1:15" x14ac:dyDescent="0.25">
      <c r="A150" s="8">
        <v>149</v>
      </c>
      <c r="B150" t="s">
        <v>183</v>
      </c>
      <c r="C150" t="s">
        <v>10</v>
      </c>
      <c r="D150" t="s">
        <v>11</v>
      </c>
      <c r="E150" t="s">
        <v>61</v>
      </c>
      <c r="F150" t="s">
        <v>35</v>
      </c>
      <c r="G150" t="s">
        <v>14</v>
      </c>
      <c r="H150">
        <v>12</v>
      </c>
      <c r="I150" s="2">
        <v>4340</v>
      </c>
      <c r="J150">
        <f t="shared" si="4"/>
        <v>52080</v>
      </c>
      <c r="K150" t="str">
        <f>TEXT(Tabla1[[#This Row],[Fecha]],"MMMM")</f>
        <v>April</v>
      </c>
      <c r="L150" t="str">
        <f>TEXT(Tabla1[[#This Row],[Fecha]],"DD")</f>
        <v>13</v>
      </c>
      <c r="M150" t="str">
        <f>TEXT(Tabla1[[#This Row],[Fecha]],"yyyy")</f>
        <v>2024</v>
      </c>
      <c r="N150">
        <f>MONTH(Tabla1[[#This Row],[Fecha]])</f>
        <v>4</v>
      </c>
      <c r="O150" s="2" t="str">
        <f t="shared" si="5"/>
        <v>T2-24</v>
      </c>
    </row>
    <row r="151" spans="1:15" x14ac:dyDescent="0.25">
      <c r="A151" s="8">
        <v>150</v>
      </c>
      <c r="B151" t="s">
        <v>184</v>
      </c>
      <c r="C151" t="s">
        <v>66</v>
      </c>
      <c r="D151" t="s">
        <v>17</v>
      </c>
      <c r="E151" t="s">
        <v>61</v>
      </c>
      <c r="F151" t="s">
        <v>13</v>
      </c>
      <c r="G151" t="s">
        <v>24</v>
      </c>
      <c r="H151">
        <v>1</v>
      </c>
      <c r="I151" s="2">
        <v>2599</v>
      </c>
      <c r="J151">
        <f t="shared" si="4"/>
        <v>2599</v>
      </c>
      <c r="K151" t="str">
        <f>TEXT(Tabla1[[#This Row],[Fecha]],"MMMM")</f>
        <v>August</v>
      </c>
      <c r="L151" t="str">
        <f>TEXT(Tabla1[[#This Row],[Fecha]],"DD")</f>
        <v>22</v>
      </c>
      <c r="M151" t="str">
        <f>TEXT(Tabla1[[#This Row],[Fecha]],"yyyy")</f>
        <v>2025</v>
      </c>
      <c r="N151">
        <f>MONTH(Tabla1[[#This Row],[Fecha]])</f>
        <v>8</v>
      </c>
      <c r="O151" s="2" t="str">
        <f t="shared" si="5"/>
        <v>T3-25</v>
      </c>
    </row>
    <row r="152" spans="1:15" x14ac:dyDescent="0.25">
      <c r="A152" s="8">
        <v>151</v>
      </c>
      <c r="B152" t="s">
        <v>185</v>
      </c>
      <c r="C152" t="s">
        <v>49</v>
      </c>
      <c r="D152" t="s">
        <v>21</v>
      </c>
      <c r="E152" t="s">
        <v>58</v>
      </c>
      <c r="F152" t="s">
        <v>23</v>
      </c>
      <c r="G152" t="s">
        <v>24</v>
      </c>
      <c r="H152">
        <v>10</v>
      </c>
      <c r="I152" s="2">
        <v>4264</v>
      </c>
      <c r="J152">
        <f t="shared" si="4"/>
        <v>42640</v>
      </c>
      <c r="K152" t="str">
        <f>TEXT(Tabla1[[#This Row],[Fecha]],"MMMM")</f>
        <v>January</v>
      </c>
      <c r="L152" t="str">
        <f>TEXT(Tabla1[[#This Row],[Fecha]],"DD")</f>
        <v>25</v>
      </c>
      <c r="M152" t="str">
        <f>TEXT(Tabla1[[#This Row],[Fecha]],"yyyy")</f>
        <v>2024</v>
      </c>
      <c r="N152">
        <f>MONTH(Tabla1[[#This Row],[Fecha]])</f>
        <v>1</v>
      </c>
      <c r="O152" s="2" t="str">
        <f t="shared" si="5"/>
        <v>T1-24</v>
      </c>
    </row>
    <row r="153" spans="1:15" x14ac:dyDescent="0.25">
      <c r="A153" s="8">
        <v>152</v>
      </c>
      <c r="B153" t="s">
        <v>186</v>
      </c>
      <c r="C153" t="s">
        <v>49</v>
      </c>
      <c r="D153" t="s">
        <v>21</v>
      </c>
      <c r="E153" t="s">
        <v>58</v>
      </c>
      <c r="F153" t="s">
        <v>18</v>
      </c>
      <c r="G153" t="s">
        <v>24</v>
      </c>
      <c r="H153">
        <v>24</v>
      </c>
      <c r="I153" s="2">
        <v>124</v>
      </c>
      <c r="J153">
        <f t="shared" si="4"/>
        <v>2976</v>
      </c>
      <c r="K153" t="str">
        <f>TEXT(Tabla1[[#This Row],[Fecha]],"MMMM")</f>
        <v>November</v>
      </c>
      <c r="L153" t="str">
        <f>TEXT(Tabla1[[#This Row],[Fecha]],"DD")</f>
        <v>22</v>
      </c>
      <c r="M153" t="str">
        <f>TEXT(Tabla1[[#This Row],[Fecha]],"yyyy")</f>
        <v>2023</v>
      </c>
      <c r="N153">
        <f>MONTH(Tabla1[[#This Row],[Fecha]])</f>
        <v>11</v>
      </c>
      <c r="O153" s="2" t="str">
        <f t="shared" si="5"/>
        <v>T4-23</v>
      </c>
    </row>
    <row r="154" spans="1:15" x14ac:dyDescent="0.25">
      <c r="A154" s="8">
        <v>153</v>
      </c>
      <c r="B154" t="s">
        <v>187</v>
      </c>
      <c r="C154" t="s">
        <v>66</v>
      </c>
      <c r="D154" t="s">
        <v>17</v>
      </c>
      <c r="E154" t="s">
        <v>52</v>
      </c>
      <c r="F154" t="s">
        <v>28</v>
      </c>
      <c r="G154" t="s">
        <v>24</v>
      </c>
      <c r="H154">
        <v>24</v>
      </c>
      <c r="I154" s="2">
        <v>2960</v>
      </c>
      <c r="J154">
        <f t="shared" si="4"/>
        <v>71040</v>
      </c>
      <c r="K154" t="str">
        <f>TEXT(Tabla1[[#This Row],[Fecha]],"MMMM")</f>
        <v>November</v>
      </c>
      <c r="L154" t="str">
        <f>TEXT(Tabla1[[#This Row],[Fecha]],"DD")</f>
        <v>21</v>
      </c>
      <c r="M154" t="str">
        <f>TEXT(Tabla1[[#This Row],[Fecha]],"yyyy")</f>
        <v>2023</v>
      </c>
      <c r="N154">
        <f>MONTH(Tabla1[[#This Row],[Fecha]])</f>
        <v>11</v>
      </c>
      <c r="O154" s="2" t="str">
        <f t="shared" si="5"/>
        <v>T4-23</v>
      </c>
    </row>
    <row r="155" spans="1:15" x14ac:dyDescent="0.25">
      <c r="A155" s="8">
        <v>154</v>
      </c>
      <c r="B155" t="s">
        <v>188</v>
      </c>
      <c r="C155" t="s">
        <v>69</v>
      </c>
      <c r="D155" t="s">
        <v>17</v>
      </c>
      <c r="E155" t="s">
        <v>41</v>
      </c>
      <c r="F155" t="s">
        <v>28</v>
      </c>
      <c r="G155" t="s">
        <v>14</v>
      </c>
      <c r="H155">
        <v>20</v>
      </c>
      <c r="I155" s="2">
        <v>1505</v>
      </c>
      <c r="J155">
        <f t="shared" si="4"/>
        <v>30100</v>
      </c>
      <c r="K155" t="str">
        <f>TEXT(Tabla1[[#This Row],[Fecha]],"MMMM")</f>
        <v>June</v>
      </c>
      <c r="L155" t="str">
        <f>TEXT(Tabla1[[#This Row],[Fecha]],"DD")</f>
        <v>25</v>
      </c>
      <c r="M155" t="str">
        <f>TEXT(Tabla1[[#This Row],[Fecha]],"yyyy")</f>
        <v>2023</v>
      </c>
      <c r="N155">
        <f>MONTH(Tabla1[[#This Row],[Fecha]])</f>
        <v>6</v>
      </c>
      <c r="O155" s="2" t="str">
        <f t="shared" si="5"/>
        <v>T2-23</v>
      </c>
    </row>
    <row r="156" spans="1:15" x14ac:dyDescent="0.25">
      <c r="A156" s="8">
        <v>155</v>
      </c>
      <c r="B156" t="s">
        <v>189</v>
      </c>
      <c r="C156" t="s">
        <v>66</v>
      </c>
      <c r="D156" t="s">
        <v>17</v>
      </c>
      <c r="E156" t="s">
        <v>72</v>
      </c>
      <c r="F156" t="s">
        <v>13</v>
      </c>
      <c r="G156" t="s">
        <v>24</v>
      </c>
      <c r="H156">
        <v>23</v>
      </c>
      <c r="I156" s="2">
        <v>845</v>
      </c>
      <c r="J156">
        <f t="shared" si="4"/>
        <v>19435</v>
      </c>
      <c r="K156" t="str">
        <f>TEXT(Tabla1[[#This Row],[Fecha]],"MMMM")</f>
        <v>July</v>
      </c>
      <c r="L156" t="str">
        <f>TEXT(Tabla1[[#This Row],[Fecha]],"DD")</f>
        <v>20</v>
      </c>
      <c r="M156" t="str">
        <f>TEXT(Tabla1[[#This Row],[Fecha]],"yyyy")</f>
        <v>2025</v>
      </c>
      <c r="N156">
        <f>MONTH(Tabla1[[#This Row],[Fecha]])</f>
        <v>7</v>
      </c>
      <c r="O156" s="2" t="str">
        <f t="shared" si="5"/>
        <v>T3-25</v>
      </c>
    </row>
    <row r="157" spans="1:15" x14ac:dyDescent="0.25">
      <c r="A157" s="8">
        <v>156</v>
      </c>
      <c r="B157" t="s">
        <v>190</v>
      </c>
      <c r="C157" t="s">
        <v>69</v>
      </c>
      <c r="D157" t="s">
        <v>17</v>
      </c>
      <c r="E157" t="s">
        <v>52</v>
      </c>
      <c r="F157" t="s">
        <v>35</v>
      </c>
      <c r="G157" t="s">
        <v>14</v>
      </c>
      <c r="H157">
        <v>4</v>
      </c>
      <c r="I157" s="2">
        <v>2885</v>
      </c>
      <c r="J157">
        <f t="shared" si="4"/>
        <v>11540</v>
      </c>
      <c r="K157" t="str">
        <f>TEXT(Tabla1[[#This Row],[Fecha]],"MMMM")</f>
        <v>November</v>
      </c>
      <c r="L157" t="str">
        <f>TEXT(Tabla1[[#This Row],[Fecha]],"DD")</f>
        <v>23</v>
      </c>
      <c r="M157" t="str">
        <f>TEXT(Tabla1[[#This Row],[Fecha]],"yyyy")</f>
        <v>2025</v>
      </c>
      <c r="N157">
        <f>MONTH(Tabla1[[#This Row],[Fecha]])</f>
        <v>11</v>
      </c>
      <c r="O157" s="2" t="str">
        <f t="shared" si="5"/>
        <v>T4-25</v>
      </c>
    </row>
    <row r="158" spans="1:15" x14ac:dyDescent="0.25">
      <c r="A158" s="8">
        <v>157</v>
      </c>
      <c r="B158" t="s">
        <v>191</v>
      </c>
      <c r="C158" t="s">
        <v>30</v>
      </c>
      <c r="D158" t="s">
        <v>17</v>
      </c>
      <c r="E158" t="s">
        <v>12</v>
      </c>
      <c r="F158" t="s">
        <v>23</v>
      </c>
      <c r="G158" t="s">
        <v>24</v>
      </c>
      <c r="H158">
        <v>16</v>
      </c>
      <c r="I158" s="2">
        <v>4718</v>
      </c>
      <c r="J158">
        <f t="shared" si="4"/>
        <v>75488</v>
      </c>
      <c r="K158" t="str">
        <f>TEXT(Tabla1[[#This Row],[Fecha]],"MMMM")</f>
        <v>June</v>
      </c>
      <c r="L158" t="str">
        <f>TEXT(Tabla1[[#This Row],[Fecha]],"DD")</f>
        <v>11</v>
      </c>
      <c r="M158" t="str">
        <f>TEXT(Tabla1[[#This Row],[Fecha]],"yyyy")</f>
        <v>2024</v>
      </c>
      <c r="N158">
        <f>MONTH(Tabla1[[#This Row],[Fecha]])</f>
        <v>6</v>
      </c>
      <c r="O158" s="2" t="str">
        <f t="shared" si="5"/>
        <v>T2-24</v>
      </c>
    </row>
    <row r="159" spans="1:15" x14ac:dyDescent="0.25">
      <c r="A159" s="8">
        <v>158</v>
      </c>
      <c r="B159" t="s">
        <v>54</v>
      </c>
      <c r="C159" t="s">
        <v>20</v>
      </c>
      <c r="D159" t="s">
        <v>21</v>
      </c>
      <c r="E159" t="s">
        <v>41</v>
      </c>
      <c r="F159" t="s">
        <v>23</v>
      </c>
      <c r="G159" t="s">
        <v>24</v>
      </c>
      <c r="H159">
        <v>6</v>
      </c>
      <c r="I159" s="2">
        <v>3058</v>
      </c>
      <c r="J159">
        <f t="shared" si="4"/>
        <v>18348</v>
      </c>
      <c r="K159" t="str">
        <f>TEXT(Tabla1[[#This Row],[Fecha]],"MMMM")</f>
        <v>May</v>
      </c>
      <c r="L159" t="str">
        <f>TEXT(Tabla1[[#This Row],[Fecha]],"DD")</f>
        <v>27</v>
      </c>
      <c r="M159" t="str">
        <f>TEXT(Tabla1[[#This Row],[Fecha]],"yyyy")</f>
        <v>2023</v>
      </c>
      <c r="N159">
        <f>MONTH(Tabla1[[#This Row],[Fecha]])</f>
        <v>5</v>
      </c>
      <c r="O159" s="2" t="str">
        <f t="shared" si="5"/>
        <v>T2-23</v>
      </c>
    </row>
    <row r="160" spans="1:15" x14ac:dyDescent="0.25">
      <c r="A160" s="8">
        <v>159</v>
      </c>
      <c r="B160" t="s">
        <v>192</v>
      </c>
      <c r="C160" t="s">
        <v>16</v>
      </c>
      <c r="D160" t="s">
        <v>17</v>
      </c>
      <c r="E160" t="s">
        <v>58</v>
      </c>
      <c r="F160" t="s">
        <v>28</v>
      </c>
      <c r="G160" t="s">
        <v>14</v>
      </c>
      <c r="H160">
        <v>11</v>
      </c>
      <c r="I160" s="2">
        <v>1043</v>
      </c>
      <c r="J160">
        <f t="shared" si="4"/>
        <v>11473</v>
      </c>
      <c r="K160" t="str">
        <f>TEXT(Tabla1[[#This Row],[Fecha]],"MMMM")</f>
        <v>June</v>
      </c>
      <c r="L160" t="str">
        <f>TEXT(Tabla1[[#This Row],[Fecha]],"DD")</f>
        <v>24</v>
      </c>
      <c r="M160" t="str">
        <f>TEXT(Tabla1[[#This Row],[Fecha]],"yyyy")</f>
        <v>2025</v>
      </c>
      <c r="N160">
        <f>MONTH(Tabla1[[#This Row],[Fecha]])</f>
        <v>6</v>
      </c>
      <c r="O160" s="2" t="str">
        <f t="shared" si="5"/>
        <v>T2-25</v>
      </c>
    </row>
    <row r="161" spans="1:15" x14ac:dyDescent="0.25">
      <c r="A161" s="8">
        <v>160</v>
      </c>
      <c r="B161" t="s">
        <v>193</v>
      </c>
      <c r="C161" t="s">
        <v>30</v>
      </c>
      <c r="D161" t="s">
        <v>17</v>
      </c>
      <c r="E161" t="s">
        <v>58</v>
      </c>
      <c r="F161" t="s">
        <v>35</v>
      </c>
      <c r="G161" t="s">
        <v>24</v>
      </c>
      <c r="H161">
        <v>17</v>
      </c>
      <c r="I161" s="2">
        <v>643</v>
      </c>
      <c r="J161">
        <f t="shared" si="4"/>
        <v>10931</v>
      </c>
      <c r="K161" t="str">
        <f>TEXT(Tabla1[[#This Row],[Fecha]],"MMMM")</f>
        <v>August</v>
      </c>
      <c r="L161" t="str">
        <f>TEXT(Tabla1[[#This Row],[Fecha]],"DD")</f>
        <v>23</v>
      </c>
      <c r="M161" t="str">
        <f>TEXT(Tabla1[[#This Row],[Fecha]],"yyyy")</f>
        <v>2024</v>
      </c>
      <c r="N161">
        <f>MONTH(Tabla1[[#This Row],[Fecha]])</f>
        <v>8</v>
      </c>
      <c r="O161" s="2" t="str">
        <f t="shared" si="5"/>
        <v>T3-24</v>
      </c>
    </row>
    <row r="162" spans="1:15" x14ac:dyDescent="0.25">
      <c r="A162" s="8">
        <v>161</v>
      </c>
      <c r="B162" t="s">
        <v>119</v>
      </c>
      <c r="C162" t="s">
        <v>37</v>
      </c>
      <c r="D162" t="s">
        <v>38</v>
      </c>
      <c r="E162" t="s">
        <v>72</v>
      </c>
      <c r="F162" t="s">
        <v>18</v>
      </c>
      <c r="G162" t="s">
        <v>14</v>
      </c>
      <c r="H162">
        <v>4</v>
      </c>
      <c r="I162" s="2">
        <v>4456</v>
      </c>
      <c r="J162">
        <f t="shared" si="4"/>
        <v>17824</v>
      </c>
      <c r="K162" t="str">
        <f>TEXT(Tabla1[[#This Row],[Fecha]],"MMMM")</f>
        <v>January</v>
      </c>
      <c r="L162" t="str">
        <f>TEXT(Tabla1[[#This Row],[Fecha]],"DD")</f>
        <v>29</v>
      </c>
      <c r="M162" t="str">
        <f>TEXT(Tabla1[[#This Row],[Fecha]],"yyyy")</f>
        <v>2025</v>
      </c>
      <c r="N162">
        <f>MONTH(Tabla1[[#This Row],[Fecha]])</f>
        <v>1</v>
      </c>
      <c r="O162" s="2" t="str">
        <f t="shared" si="5"/>
        <v>T1-25</v>
      </c>
    </row>
    <row r="163" spans="1:15" x14ac:dyDescent="0.25">
      <c r="A163" s="8">
        <v>162</v>
      </c>
      <c r="B163" t="s">
        <v>194</v>
      </c>
      <c r="C163" t="s">
        <v>37</v>
      </c>
      <c r="D163" t="s">
        <v>38</v>
      </c>
      <c r="E163" t="s">
        <v>12</v>
      </c>
      <c r="F163" t="s">
        <v>42</v>
      </c>
      <c r="G163" t="s">
        <v>14</v>
      </c>
      <c r="H163">
        <v>2</v>
      </c>
      <c r="I163" s="2">
        <v>4245</v>
      </c>
      <c r="J163">
        <f t="shared" si="4"/>
        <v>8490</v>
      </c>
      <c r="K163" t="str">
        <f>TEXT(Tabla1[[#This Row],[Fecha]],"MMMM")</f>
        <v>February</v>
      </c>
      <c r="L163" t="str">
        <f>TEXT(Tabla1[[#This Row],[Fecha]],"DD")</f>
        <v>02</v>
      </c>
      <c r="M163" t="str">
        <f>TEXT(Tabla1[[#This Row],[Fecha]],"yyyy")</f>
        <v>2024</v>
      </c>
      <c r="N163">
        <f>MONTH(Tabla1[[#This Row],[Fecha]])</f>
        <v>2</v>
      </c>
      <c r="O163" s="2" t="str">
        <f t="shared" si="5"/>
        <v>T1-24</v>
      </c>
    </row>
    <row r="164" spans="1:15" x14ac:dyDescent="0.25">
      <c r="A164" s="8">
        <v>163</v>
      </c>
      <c r="B164" t="s">
        <v>195</v>
      </c>
      <c r="C164" t="s">
        <v>26</v>
      </c>
      <c r="D164" t="s">
        <v>27</v>
      </c>
      <c r="E164" t="s">
        <v>22</v>
      </c>
      <c r="F164" t="s">
        <v>18</v>
      </c>
      <c r="G164" t="s">
        <v>24</v>
      </c>
      <c r="H164">
        <v>6</v>
      </c>
      <c r="I164" s="2">
        <v>116</v>
      </c>
      <c r="J164">
        <f t="shared" si="4"/>
        <v>696</v>
      </c>
      <c r="K164" t="str">
        <f>TEXT(Tabla1[[#This Row],[Fecha]],"MMMM")</f>
        <v>July</v>
      </c>
      <c r="L164" t="str">
        <f>TEXT(Tabla1[[#This Row],[Fecha]],"DD")</f>
        <v>18</v>
      </c>
      <c r="M164" t="str">
        <f>TEXT(Tabla1[[#This Row],[Fecha]],"yyyy")</f>
        <v>2025</v>
      </c>
      <c r="N164">
        <f>MONTH(Tabla1[[#This Row],[Fecha]])</f>
        <v>7</v>
      </c>
      <c r="O164" s="2" t="str">
        <f t="shared" si="5"/>
        <v>T3-25</v>
      </c>
    </row>
    <row r="165" spans="1:15" x14ac:dyDescent="0.25">
      <c r="A165" s="8">
        <v>164</v>
      </c>
      <c r="B165" t="s">
        <v>196</v>
      </c>
      <c r="C165" t="s">
        <v>20</v>
      </c>
      <c r="D165" t="s">
        <v>21</v>
      </c>
      <c r="E165" t="s">
        <v>58</v>
      </c>
      <c r="F165" t="s">
        <v>35</v>
      </c>
      <c r="G165" t="s">
        <v>24</v>
      </c>
      <c r="H165">
        <v>3</v>
      </c>
      <c r="I165" s="2">
        <v>4006</v>
      </c>
      <c r="J165">
        <f t="shared" si="4"/>
        <v>12018</v>
      </c>
      <c r="K165" t="str">
        <f>TEXT(Tabla1[[#This Row],[Fecha]],"MMMM")</f>
        <v>March</v>
      </c>
      <c r="L165" t="str">
        <f>TEXT(Tabla1[[#This Row],[Fecha]],"DD")</f>
        <v>29</v>
      </c>
      <c r="M165" t="str">
        <f>TEXT(Tabla1[[#This Row],[Fecha]],"yyyy")</f>
        <v>2024</v>
      </c>
      <c r="N165">
        <f>MONTH(Tabla1[[#This Row],[Fecha]])</f>
        <v>3</v>
      </c>
      <c r="O165" s="2" t="str">
        <f t="shared" si="5"/>
        <v>T1-24</v>
      </c>
    </row>
    <row r="166" spans="1:15" x14ac:dyDescent="0.25">
      <c r="A166" s="8">
        <v>165</v>
      </c>
      <c r="B166" t="s">
        <v>197</v>
      </c>
      <c r="C166" t="s">
        <v>20</v>
      </c>
      <c r="D166" t="s">
        <v>21</v>
      </c>
      <c r="E166" t="s">
        <v>44</v>
      </c>
      <c r="F166" t="s">
        <v>13</v>
      </c>
      <c r="G166" t="s">
        <v>24</v>
      </c>
      <c r="H166">
        <v>5</v>
      </c>
      <c r="I166" s="2">
        <v>3229</v>
      </c>
      <c r="J166">
        <f t="shared" si="4"/>
        <v>16145</v>
      </c>
      <c r="K166" t="str">
        <f>TEXT(Tabla1[[#This Row],[Fecha]],"MMMM")</f>
        <v>July</v>
      </c>
      <c r="L166" t="str">
        <f>TEXT(Tabla1[[#This Row],[Fecha]],"DD")</f>
        <v>08</v>
      </c>
      <c r="M166" t="str">
        <f>TEXT(Tabla1[[#This Row],[Fecha]],"yyyy")</f>
        <v>2023</v>
      </c>
      <c r="N166">
        <f>MONTH(Tabla1[[#This Row],[Fecha]])</f>
        <v>7</v>
      </c>
      <c r="O166" s="2" t="str">
        <f t="shared" si="5"/>
        <v>T3-23</v>
      </c>
    </row>
    <row r="167" spans="1:15" x14ac:dyDescent="0.25">
      <c r="A167" s="8">
        <v>166</v>
      </c>
      <c r="B167" t="s">
        <v>198</v>
      </c>
      <c r="C167" t="s">
        <v>49</v>
      </c>
      <c r="D167" t="s">
        <v>21</v>
      </c>
      <c r="E167" t="s">
        <v>72</v>
      </c>
      <c r="F167" t="s">
        <v>13</v>
      </c>
      <c r="G167" t="s">
        <v>14</v>
      </c>
      <c r="H167">
        <v>2</v>
      </c>
      <c r="I167" s="2">
        <v>554</v>
      </c>
      <c r="J167">
        <f t="shared" si="4"/>
        <v>1108</v>
      </c>
      <c r="K167" t="str">
        <f>TEXT(Tabla1[[#This Row],[Fecha]],"MMMM")</f>
        <v>January</v>
      </c>
      <c r="L167" t="str">
        <f>TEXT(Tabla1[[#This Row],[Fecha]],"DD")</f>
        <v>12</v>
      </c>
      <c r="M167" t="str">
        <f>TEXT(Tabla1[[#This Row],[Fecha]],"yyyy")</f>
        <v>2023</v>
      </c>
      <c r="N167">
        <f>MONTH(Tabla1[[#This Row],[Fecha]])</f>
        <v>1</v>
      </c>
      <c r="O167" s="2" t="str">
        <f t="shared" si="5"/>
        <v>T1-23</v>
      </c>
    </row>
    <row r="168" spans="1:15" x14ac:dyDescent="0.25">
      <c r="A168" s="8">
        <v>167</v>
      </c>
      <c r="B168" t="s">
        <v>199</v>
      </c>
      <c r="C168" t="s">
        <v>37</v>
      </c>
      <c r="D168" t="s">
        <v>38</v>
      </c>
      <c r="E168" t="s">
        <v>52</v>
      </c>
      <c r="F168" t="s">
        <v>33</v>
      </c>
      <c r="G168" t="s">
        <v>14</v>
      </c>
      <c r="H168">
        <v>13</v>
      </c>
      <c r="I168" s="2">
        <v>4042</v>
      </c>
      <c r="J168">
        <f t="shared" si="4"/>
        <v>52546</v>
      </c>
      <c r="K168" t="str">
        <f>TEXT(Tabla1[[#This Row],[Fecha]],"MMMM")</f>
        <v>December</v>
      </c>
      <c r="L168" t="str">
        <f>TEXT(Tabla1[[#This Row],[Fecha]],"DD")</f>
        <v>15</v>
      </c>
      <c r="M168" t="str">
        <f>TEXT(Tabla1[[#This Row],[Fecha]],"yyyy")</f>
        <v>2025</v>
      </c>
      <c r="N168">
        <f>MONTH(Tabla1[[#This Row],[Fecha]])</f>
        <v>12</v>
      </c>
      <c r="O168" s="2" t="str">
        <f t="shared" si="5"/>
        <v>T4-25</v>
      </c>
    </row>
    <row r="169" spans="1:15" x14ac:dyDescent="0.25">
      <c r="A169" s="8">
        <v>168</v>
      </c>
      <c r="B169" t="s">
        <v>200</v>
      </c>
      <c r="C169" t="s">
        <v>26</v>
      </c>
      <c r="D169" t="s">
        <v>27</v>
      </c>
      <c r="E169" t="s">
        <v>32</v>
      </c>
      <c r="F169" t="s">
        <v>18</v>
      </c>
      <c r="G169" t="s">
        <v>24</v>
      </c>
      <c r="H169">
        <v>1</v>
      </c>
      <c r="I169" s="2">
        <v>4592</v>
      </c>
      <c r="J169">
        <f t="shared" si="4"/>
        <v>4592</v>
      </c>
      <c r="K169" t="str">
        <f>TEXT(Tabla1[[#This Row],[Fecha]],"MMMM")</f>
        <v>August</v>
      </c>
      <c r="L169" t="str">
        <f>TEXT(Tabla1[[#This Row],[Fecha]],"DD")</f>
        <v>15</v>
      </c>
      <c r="M169" t="str">
        <f>TEXT(Tabla1[[#This Row],[Fecha]],"yyyy")</f>
        <v>2023</v>
      </c>
      <c r="N169">
        <f>MONTH(Tabla1[[#This Row],[Fecha]])</f>
        <v>8</v>
      </c>
      <c r="O169" s="2" t="str">
        <f t="shared" si="5"/>
        <v>T3-23</v>
      </c>
    </row>
    <row r="170" spans="1:15" x14ac:dyDescent="0.25">
      <c r="A170" s="8">
        <v>169</v>
      </c>
      <c r="B170" t="s">
        <v>201</v>
      </c>
      <c r="C170" t="s">
        <v>10</v>
      </c>
      <c r="D170" t="s">
        <v>11</v>
      </c>
      <c r="E170" t="s">
        <v>12</v>
      </c>
      <c r="F170" t="s">
        <v>13</v>
      </c>
      <c r="G170" t="s">
        <v>24</v>
      </c>
      <c r="H170">
        <v>19</v>
      </c>
      <c r="I170" s="2">
        <v>759</v>
      </c>
      <c r="J170">
        <f t="shared" si="4"/>
        <v>14421</v>
      </c>
      <c r="K170" t="str">
        <f>TEXT(Tabla1[[#This Row],[Fecha]],"MMMM")</f>
        <v>October</v>
      </c>
      <c r="L170" t="str">
        <f>TEXT(Tabla1[[#This Row],[Fecha]],"DD")</f>
        <v>17</v>
      </c>
      <c r="M170" t="str">
        <f>TEXT(Tabla1[[#This Row],[Fecha]],"yyyy")</f>
        <v>2024</v>
      </c>
      <c r="N170">
        <f>MONTH(Tabla1[[#This Row],[Fecha]])</f>
        <v>10</v>
      </c>
      <c r="O170" s="2" t="str">
        <f t="shared" si="5"/>
        <v>T4-24</v>
      </c>
    </row>
    <row r="171" spans="1:15" x14ac:dyDescent="0.25">
      <c r="A171" s="8">
        <v>170</v>
      </c>
      <c r="B171" t="s">
        <v>202</v>
      </c>
      <c r="C171" t="s">
        <v>10</v>
      </c>
      <c r="D171" t="s">
        <v>11</v>
      </c>
      <c r="E171" t="s">
        <v>72</v>
      </c>
      <c r="F171" t="s">
        <v>28</v>
      </c>
      <c r="G171" t="s">
        <v>24</v>
      </c>
      <c r="H171">
        <v>23</v>
      </c>
      <c r="I171" s="2">
        <v>936</v>
      </c>
      <c r="J171">
        <f t="shared" si="4"/>
        <v>21528</v>
      </c>
      <c r="K171" t="str">
        <f>TEXT(Tabla1[[#This Row],[Fecha]],"MMMM")</f>
        <v>July</v>
      </c>
      <c r="L171" t="str">
        <f>TEXT(Tabla1[[#This Row],[Fecha]],"DD")</f>
        <v>06</v>
      </c>
      <c r="M171" t="str">
        <f>TEXT(Tabla1[[#This Row],[Fecha]],"yyyy")</f>
        <v>2024</v>
      </c>
      <c r="N171">
        <f>MONTH(Tabla1[[#This Row],[Fecha]])</f>
        <v>7</v>
      </c>
      <c r="O171" s="2" t="str">
        <f t="shared" si="5"/>
        <v>T3-24</v>
      </c>
    </row>
    <row r="172" spans="1:15" x14ac:dyDescent="0.25">
      <c r="A172" s="8">
        <v>171</v>
      </c>
      <c r="B172" t="s">
        <v>203</v>
      </c>
      <c r="C172" t="s">
        <v>26</v>
      </c>
      <c r="D172" t="s">
        <v>27</v>
      </c>
      <c r="E172" t="s">
        <v>44</v>
      </c>
      <c r="F172" t="s">
        <v>33</v>
      </c>
      <c r="G172" t="s">
        <v>24</v>
      </c>
      <c r="H172">
        <v>7</v>
      </c>
      <c r="I172" s="2">
        <v>2128</v>
      </c>
      <c r="J172">
        <f t="shared" si="4"/>
        <v>14896</v>
      </c>
      <c r="K172" t="str">
        <f>TEXT(Tabla1[[#This Row],[Fecha]],"MMMM")</f>
        <v>March</v>
      </c>
      <c r="L172" t="str">
        <f>TEXT(Tabla1[[#This Row],[Fecha]],"DD")</f>
        <v>02</v>
      </c>
      <c r="M172" t="str">
        <f>TEXT(Tabla1[[#This Row],[Fecha]],"yyyy")</f>
        <v>2023</v>
      </c>
      <c r="N172">
        <f>MONTH(Tabla1[[#This Row],[Fecha]])</f>
        <v>3</v>
      </c>
      <c r="O172" s="2" t="str">
        <f t="shared" si="5"/>
        <v>T1-23</v>
      </c>
    </row>
    <row r="173" spans="1:15" x14ac:dyDescent="0.25">
      <c r="A173" s="8">
        <v>172</v>
      </c>
      <c r="B173" t="s">
        <v>204</v>
      </c>
      <c r="C173" t="s">
        <v>49</v>
      </c>
      <c r="D173" t="s">
        <v>21</v>
      </c>
      <c r="E173" t="s">
        <v>41</v>
      </c>
      <c r="F173" t="s">
        <v>18</v>
      </c>
      <c r="G173" t="s">
        <v>24</v>
      </c>
      <c r="H173">
        <v>8</v>
      </c>
      <c r="I173" s="2">
        <v>3103</v>
      </c>
      <c r="J173">
        <f t="shared" si="4"/>
        <v>24824</v>
      </c>
      <c r="K173" t="str">
        <f>TEXT(Tabla1[[#This Row],[Fecha]],"MMMM")</f>
        <v>November</v>
      </c>
      <c r="L173" t="str">
        <f>TEXT(Tabla1[[#This Row],[Fecha]],"DD")</f>
        <v>02</v>
      </c>
      <c r="M173" t="str">
        <f>TEXT(Tabla1[[#This Row],[Fecha]],"yyyy")</f>
        <v>2023</v>
      </c>
      <c r="N173">
        <f>MONTH(Tabla1[[#This Row],[Fecha]])</f>
        <v>11</v>
      </c>
      <c r="O173" s="2" t="str">
        <f t="shared" si="5"/>
        <v>T4-23</v>
      </c>
    </row>
    <row r="174" spans="1:15" x14ac:dyDescent="0.25">
      <c r="A174" s="8">
        <v>173</v>
      </c>
      <c r="B174" t="s">
        <v>205</v>
      </c>
      <c r="C174" t="s">
        <v>26</v>
      </c>
      <c r="D174" t="s">
        <v>27</v>
      </c>
      <c r="E174" t="s">
        <v>58</v>
      </c>
      <c r="F174" t="s">
        <v>18</v>
      </c>
      <c r="G174" t="s">
        <v>14</v>
      </c>
      <c r="H174">
        <v>1</v>
      </c>
      <c r="I174" s="2">
        <v>3879</v>
      </c>
      <c r="J174">
        <f t="shared" si="4"/>
        <v>3879</v>
      </c>
      <c r="K174" t="str">
        <f>TEXT(Tabla1[[#This Row],[Fecha]],"MMMM")</f>
        <v>November</v>
      </c>
      <c r="L174" t="str">
        <f>TEXT(Tabla1[[#This Row],[Fecha]],"DD")</f>
        <v>15</v>
      </c>
      <c r="M174" t="str">
        <f>TEXT(Tabla1[[#This Row],[Fecha]],"yyyy")</f>
        <v>2023</v>
      </c>
      <c r="N174">
        <f>MONTH(Tabla1[[#This Row],[Fecha]])</f>
        <v>11</v>
      </c>
      <c r="O174" s="2" t="str">
        <f t="shared" si="5"/>
        <v>T4-23</v>
      </c>
    </row>
    <row r="175" spans="1:15" x14ac:dyDescent="0.25">
      <c r="A175" s="8">
        <v>174</v>
      </c>
      <c r="B175" t="s">
        <v>206</v>
      </c>
      <c r="C175" t="s">
        <v>69</v>
      </c>
      <c r="D175" t="s">
        <v>17</v>
      </c>
      <c r="E175" t="s">
        <v>58</v>
      </c>
      <c r="F175" t="s">
        <v>28</v>
      </c>
      <c r="G175" t="s">
        <v>14</v>
      </c>
      <c r="H175">
        <v>20</v>
      </c>
      <c r="I175" s="2">
        <v>2973</v>
      </c>
      <c r="J175">
        <f t="shared" si="4"/>
        <v>59460</v>
      </c>
      <c r="K175" t="str">
        <f>TEXT(Tabla1[[#This Row],[Fecha]],"MMMM")</f>
        <v>July</v>
      </c>
      <c r="L175" t="str">
        <f>TEXT(Tabla1[[#This Row],[Fecha]],"DD")</f>
        <v>03</v>
      </c>
      <c r="M175" t="str">
        <f>TEXT(Tabla1[[#This Row],[Fecha]],"yyyy")</f>
        <v>2023</v>
      </c>
      <c r="N175">
        <f>MONTH(Tabla1[[#This Row],[Fecha]])</f>
        <v>7</v>
      </c>
      <c r="O175" s="2" t="str">
        <f t="shared" si="5"/>
        <v>T3-23</v>
      </c>
    </row>
    <row r="176" spans="1:15" x14ac:dyDescent="0.25">
      <c r="A176" s="8">
        <v>175</v>
      </c>
      <c r="B176" t="s">
        <v>207</v>
      </c>
      <c r="C176" t="s">
        <v>26</v>
      </c>
      <c r="D176" t="s">
        <v>27</v>
      </c>
      <c r="E176" t="s">
        <v>61</v>
      </c>
      <c r="F176" t="s">
        <v>18</v>
      </c>
      <c r="G176" t="s">
        <v>24</v>
      </c>
      <c r="H176">
        <v>2</v>
      </c>
      <c r="I176" s="2">
        <v>3936</v>
      </c>
      <c r="J176">
        <f t="shared" si="4"/>
        <v>7872</v>
      </c>
      <c r="K176" t="str">
        <f>TEXT(Tabla1[[#This Row],[Fecha]],"MMMM")</f>
        <v>October</v>
      </c>
      <c r="L176" t="str">
        <f>TEXT(Tabla1[[#This Row],[Fecha]],"DD")</f>
        <v>31</v>
      </c>
      <c r="M176" t="str">
        <f>TEXT(Tabla1[[#This Row],[Fecha]],"yyyy")</f>
        <v>2024</v>
      </c>
      <c r="N176">
        <f>MONTH(Tabla1[[#This Row],[Fecha]])</f>
        <v>10</v>
      </c>
      <c r="O176" s="2" t="str">
        <f t="shared" si="5"/>
        <v>T4-24</v>
      </c>
    </row>
    <row r="177" spans="1:15" x14ac:dyDescent="0.25">
      <c r="A177" s="8">
        <v>176</v>
      </c>
      <c r="B177" t="s">
        <v>208</v>
      </c>
      <c r="C177" t="s">
        <v>46</v>
      </c>
      <c r="D177" t="s">
        <v>38</v>
      </c>
      <c r="E177" t="s">
        <v>52</v>
      </c>
      <c r="F177" t="s">
        <v>35</v>
      </c>
      <c r="G177" t="s">
        <v>24</v>
      </c>
      <c r="H177">
        <v>17</v>
      </c>
      <c r="I177" s="2">
        <v>1067</v>
      </c>
      <c r="J177">
        <f t="shared" si="4"/>
        <v>18139</v>
      </c>
      <c r="K177" t="str">
        <f>TEXT(Tabla1[[#This Row],[Fecha]],"MMMM")</f>
        <v>October</v>
      </c>
      <c r="L177" t="str">
        <f>TEXT(Tabla1[[#This Row],[Fecha]],"DD")</f>
        <v>16</v>
      </c>
      <c r="M177" t="str">
        <f>TEXT(Tabla1[[#This Row],[Fecha]],"yyyy")</f>
        <v>2025</v>
      </c>
      <c r="N177">
        <f>MONTH(Tabla1[[#This Row],[Fecha]])</f>
        <v>10</v>
      </c>
      <c r="O177" s="2" t="str">
        <f t="shared" si="5"/>
        <v>T4-25</v>
      </c>
    </row>
    <row r="178" spans="1:15" x14ac:dyDescent="0.25">
      <c r="A178" s="8">
        <v>177</v>
      </c>
      <c r="B178" t="s">
        <v>209</v>
      </c>
      <c r="C178" t="s">
        <v>10</v>
      </c>
      <c r="D178" t="s">
        <v>11</v>
      </c>
      <c r="E178" t="s">
        <v>61</v>
      </c>
      <c r="F178" t="s">
        <v>28</v>
      </c>
      <c r="G178" t="s">
        <v>14</v>
      </c>
      <c r="H178">
        <v>24</v>
      </c>
      <c r="I178" s="2">
        <v>2201</v>
      </c>
      <c r="J178">
        <f t="shared" si="4"/>
        <v>52824</v>
      </c>
      <c r="K178" t="str">
        <f>TEXT(Tabla1[[#This Row],[Fecha]],"MMMM")</f>
        <v>August</v>
      </c>
      <c r="L178" t="str">
        <f>TEXT(Tabla1[[#This Row],[Fecha]],"DD")</f>
        <v>09</v>
      </c>
      <c r="M178" t="str">
        <f>TEXT(Tabla1[[#This Row],[Fecha]],"yyyy")</f>
        <v>2023</v>
      </c>
      <c r="N178">
        <f>MONTH(Tabla1[[#This Row],[Fecha]])</f>
        <v>8</v>
      </c>
      <c r="O178" s="2" t="str">
        <f t="shared" si="5"/>
        <v>T3-23</v>
      </c>
    </row>
    <row r="179" spans="1:15" x14ac:dyDescent="0.25">
      <c r="A179" s="8">
        <v>178</v>
      </c>
      <c r="B179" t="s">
        <v>210</v>
      </c>
      <c r="C179" t="s">
        <v>10</v>
      </c>
      <c r="D179" t="s">
        <v>11</v>
      </c>
      <c r="E179" t="s">
        <v>58</v>
      </c>
      <c r="F179" t="s">
        <v>18</v>
      </c>
      <c r="G179" t="s">
        <v>14</v>
      </c>
      <c r="H179">
        <v>13</v>
      </c>
      <c r="I179" s="2">
        <v>1510</v>
      </c>
      <c r="J179">
        <f t="shared" si="4"/>
        <v>19630</v>
      </c>
      <c r="K179" t="str">
        <f>TEXT(Tabla1[[#This Row],[Fecha]],"MMMM")</f>
        <v>August</v>
      </c>
      <c r="L179" t="str">
        <f>TEXT(Tabla1[[#This Row],[Fecha]],"DD")</f>
        <v>18</v>
      </c>
      <c r="M179" t="str">
        <f>TEXT(Tabla1[[#This Row],[Fecha]],"yyyy")</f>
        <v>2023</v>
      </c>
      <c r="N179">
        <f>MONTH(Tabla1[[#This Row],[Fecha]])</f>
        <v>8</v>
      </c>
      <c r="O179" s="2" t="str">
        <f t="shared" si="5"/>
        <v>T3-23</v>
      </c>
    </row>
    <row r="180" spans="1:15" x14ac:dyDescent="0.25">
      <c r="A180" s="8">
        <v>179</v>
      </c>
      <c r="B180" t="s">
        <v>211</v>
      </c>
      <c r="C180" t="s">
        <v>16</v>
      </c>
      <c r="D180" t="s">
        <v>17</v>
      </c>
      <c r="E180" t="s">
        <v>32</v>
      </c>
      <c r="F180" t="s">
        <v>42</v>
      </c>
      <c r="G180" t="s">
        <v>24</v>
      </c>
      <c r="H180">
        <v>23</v>
      </c>
      <c r="I180" s="2">
        <v>3536</v>
      </c>
      <c r="J180">
        <f t="shared" si="4"/>
        <v>81328</v>
      </c>
      <c r="K180" t="str">
        <f>TEXT(Tabla1[[#This Row],[Fecha]],"MMMM")</f>
        <v>January</v>
      </c>
      <c r="L180" t="str">
        <f>TEXT(Tabla1[[#This Row],[Fecha]],"DD")</f>
        <v>22</v>
      </c>
      <c r="M180" t="str">
        <f>TEXT(Tabla1[[#This Row],[Fecha]],"yyyy")</f>
        <v>2024</v>
      </c>
      <c r="N180">
        <f>MONTH(Tabla1[[#This Row],[Fecha]])</f>
        <v>1</v>
      </c>
      <c r="O180" s="2" t="str">
        <f t="shared" si="5"/>
        <v>T1-24</v>
      </c>
    </row>
    <row r="181" spans="1:15" x14ac:dyDescent="0.25">
      <c r="A181" s="8">
        <v>180</v>
      </c>
      <c r="B181" t="s">
        <v>212</v>
      </c>
      <c r="C181" t="s">
        <v>30</v>
      </c>
      <c r="D181" t="s">
        <v>17</v>
      </c>
      <c r="E181" t="s">
        <v>50</v>
      </c>
      <c r="F181" t="s">
        <v>42</v>
      </c>
      <c r="G181" t="s">
        <v>24</v>
      </c>
      <c r="H181">
        <v>21</v>
      </c>
      <c r="I181" s="2">
        <v>128</v>
      </c>
      <c r="J181">
        <f t="shared" si="4"/>
        <v>2688</v>
      </c>
      <c r="K181" t="str">
        <f>TEXT(Tabla1[[#This Row],[Fecha]],"MMMM")</f>
        <v>June</v>
      </c>
      <c r="L181" t="str">
        <f>TEXT(Tabla1[[#This Row],[Fecha]],"DD")</f>
        <v>20</v>
      </c>
      <c r="M181" t="str">
        <f>TEXT(Tabla1[[#This Row],[Fecha]],"yyyy")</f>
        <v>2023</v>
      </c>
      <c r="N181">
        <f>MONTH(Tabla1[[#This Row],[Fecha]])</f>
        <v>6</v>
      </c>
      <c r="O181" s="2" t="str">
        <f t="shared" si="5"/>
        <v>T2-23</v>
      </c>
    </row>
    <row r="182" spans="1:15" x14ac:dyDescent="0.25">
      <c r="A182" s="8">
        <v>181</v>
      </c>
      <c r="B182" t="s">
        <v>213</v>
      </c>
      <c r="C182" t="s">
        <v>49</v>
      </c>
      <c r="D182" t="s">
        <v>21</v>
      </c>
      <c r="E182" t="s">
        <v>58</v>
      </c>
      <c r="F182" t="s">
        <v>35</v>
      </c>
      <c r="G182" t="s">
        <v>14</v>
      </c>
      <c r="H182">
        <v>17</v>
      </c>
      <c r="I182" s="2">
        <v>4467</v>
      </c>
      <c r="J182">
        <f t="shared" si="4"/>
        <v>75939</v>
      </c>
      <c r="K182" t="str">
        <f>TEXT(Tabla1[[#This Row],[Fecha]],"MMMM")</f>
        <v>October</v>
      </c>
      <c r="L182" t="str">
        <f>TEXT(Tabla1[[#This Row],[Fecha]],"DD")</f>
        <v>11</v>
      </c>
      <c r="M182" t="str">
        <f>TEXT(Tabla1[[#This Row],[Fecha]],"yyyy")</f>
        <v>2023</v>
      </c>
      <c r="N182">
        <f>MONTH(Tabla1[[#This Row],[Fecha]])</f>
        <v>10</v>
      </c>
      <c r="O182" s="2" t="str">
        <f t="shared" si="5"/>
        <v>T4-23</v>
      </c>
    </row>
    <row r="183" spans="1:15" x14ac:dyDescent="0.25">
      <c r="A183" s="8">
        <v>182</v>
      </c>
      <c r="B183" t="s">
        <v>214</v>
      </c>
      <c r="C183" t="s">
        <v>10</v>
      </c>
      <c r="D183" t="s">
        <v>11</v>
      </c>
      <c r="E183" t="s">
        <v>22</v>
      </c>
      <c r="F183" t="s">
        <v>35</v>
      </c>
      <c r="G183" t="s">
        <v>24</v>
      </c>
      <c r="H183">
        <v>10</v>
      </c>
      <c r="I183" s="2">
        <v>3397</v>
      </c>
      <c r="J183">
        <f t="shared" si="4"/>
        <v>33970</v>
      </c>
      <c r="K183" t="str">
        <f>TEXT(Tabla1[[#This Row],[Fecha]],"MMMM")</f>
        <v>November</v>
      </c>
      <c r="L183" t="str">
        <f>TEXT(Tabla1[[#This Row],[Fecha]],"DD")</f>
        <v>04</v>
      </c>
      <c r="M183" t="str">
        <f>TEXT(Tabla1[[#This Row],[Fecha]],"yyyy")</f>
        <v>2025</v>
      </c>
      <c r="N183">
        <f>MONTH(Tabla1[[#This Row],[Fecha]])</f>
        <v>11</v>
      </c>
      <c r="O183" s="2" t="str">
        <f t="shared" si="5"/>
        <v>T4-25</v>
      </c>
    </row>
    <row r="184" spans="1:15" x14ac:dyDescent="0.25">
      <c r="A184" s="8">
        <v>183</v>
      </c>
      <c r="B184" t="s">
        <v>215</v>
      </c>
      <c r="C184" t="s">
        <v>16</v>
      </c>
      <c r="D184" t="s">
        <v>17</v>
      </c>
      <c r="E184" t="s">
        <v>22</v>
      </c>
      <c r="F184" t="s">
        <v>33</v>
      </c>
      <c r="G184" t="s">
        <v>14</v>
      </c>
      <c r="H184">
        <v>6</v>
      </c>
      <c r="I184" s="2">
        <v>204</v>
      </c>
      <c r="J184">
        <f t="shared" si="4"/>
        <v>1224</v>
      </c>
      <c r="K184" t="str">
        <f>TEXT(Tabla1[[#This Row],[Fecha]],"MMMM")</f>
        <v>November</v>
      </c>
      <c r="L184" t="str">
        <f>TEXT(Tabla1[[#This Row],[Fecha]],"DD")</f>
        <v>26</v>
      </c>
      <c r="M184" t="str">
        <f>TEXT(Tabla1[[#This Row],[Fecha]],"yyyy")</f>
        <v>2024</v>
      </c>
      <c r="N184">
        <f>MONTH(Tabla1[[#This Row],[Fecha]])</f>
        <v>11</v>
      </c>
      <c r="O184" s="2" t="str">
        <f t="shared" si="5"/>
        <v>T4-24</v>
      </c>
    </row>
    <row r="185" spans="1:15" x14ac:dyDescent="0.25">
      <c r="A185" s="8">
        <v>184</v>
      </c>
      <c r="B185" t="s">
        <v>216</v>
      </c>
      <c r="C185" t="s">
        <v>20</v>
      </c>
      <c r="D185" t="s">
        <v>21</v>
      </c>
      <c r="E185" t="s">
        <v>52</v>
      </c>
      <c r="F185" t="s">
        <v>23</v>
      </c>
      <c r="G185" t="s">
        <v>14</v>
      </c>
      <c r="H185">
        <v>21</v>
      </c>
      <c r="I185" s="2">
        <v>2989</v>
      </c>
      <c r="J185">
        <f t="shared" si="4"/>
        <v>62769</v>
      </c>
      <c r="K185" t="str">
        <f>TEXT(Tabla1[[#This Row],[Fecha]],"MMMM")</f>
        <v>March</v>
      </c>
      <c r="L185" t="str">
        <f>TEXT(Tabla1[[#This Row],[Fecha]],"DD")</f>
        <v>17</v>
      </c>
      <c r="M185" t="str">
        <f>TEXT(Tabla1[[#This Row],[Fecha]],"yyyy")</f>
        <v>2025</v>
      </c>
      <c r="N185">
        <f>MONTH(Tabla1[[#This Row],[Fecha]])</f>
        <v>3</v>
      </c>
      <c r="O185" s="2" t="str">
        <f t="shared" si="5"/>
        <v>T1-25</v>
      </c>
    </row>
    <row r="186" spans="1:15" x14ac:dyDescent="0.25">
      <c r="A186" s="8">
        <v>185</v>
      </c>
      <c r="B186" t="s">
        <v>217</v>
      </c>
      <c r="C186" t="s">
        <v>49</v>
      </c>
      <c r="D186" t="s">
        <v>21</v>
      </c>
      <c r="E186" t="s">
        <v>50</v>
      </c>
      <c r="F186" t="s">
        <v>13</v>
      </c>
      <c r="G186" t="s">
        <v>14</v>
      </c>
      <c r="H186">
        <v>12</v>
      </c>
      <c r="I186" s="2">
        <v>4463</v>
      </c>
      <c r="J186">
        <f t="shared" si="4"/>
        <v>53556</v>
      </c>
      <c r="K186" t="str">
        <f>TEXT(Tabla1[[#This Row],[Fecha]],"MMMM")</f>
        <v>June</v>
      </c>
      <c r="L186" t="str">
        <f>TEXT(Tabla1[[#This Row],[Fecha]],"DD")</f>
        <v>21</v>
      </c>
      <c r="M186" t="str">
        <f>TEXT(Tabla1[[#This Row],[Fecha]],"yyyy")</f>
        <v>2023</v>
      </c>
      <c r="N186">
        <f>MONTH(Tabla1[[#This Row],[Fecha]])</f>
        <v>6</v>
      </c>
      <c r="O186" s="2" t="str">
        <f t="shared" si="5"/>
        <v>T2-23</v>
      </c>
    </row>
    <row r="187" spans="1:15" x14ac:dyDescent="0.25">
      <c r="A187" s="8">
        <v>186</v>
      </c>
      <c r="B187" t="s">
        <v>218</v>
      </c>
      <c r="C187" t="s">
        <v>16</v>
      </c>
      <c r="D187" t="s">
        <v>17</v>
      </c>
      <c r="E187" t="s">
        <v>22</v>
      </c>
      <c r="F187" t="s">
        <v>35</v>
      </c>
      <c r="G187" t="s">
        <v>24</v>
      </c>
      <c r="H187">
        <v>22</v>
      </c>
      <c r="I187" s="2">
        <v>4384</v>
      </c>
      <c r="J187">
        <f t="shared" si="4"/>
        <v>96448</v>
      </c>
      <c r="K187" t="str">
        <f>TEXT(Tabla1[[#This Row],[Fecha]],"MMMM")</f>
        <v>July</v>
      </c>
      <c r="L187" t="str">
        <f>TEXT(Tabla1[[#This Row],[Fecha]],"DD")</f>
        <v>02</v>
      </c>
      <c r="M187" t="str">
        <f>TEXT(Tabla1[[#This Row],[Fecha]],"yyyy")</f>
        <v>2025</v>
      </c>
      <c r="N187">
        <f>MONTH(Tabla1[[#This Row],[Fecha]])</f>
        <v>7</v>
      </c>
      <c r="O187" s="2" t="str">
        <f t="shared" si="5"/>
        <v>T3-25</v>
      </c>
    </row>
    <row r="188" spans="1:15" x14ac:dyDescent="0.25">
      <c r="A188" s="8">
        <v>187</v>
      </c>
      <c r="B188" t="s">
        <v>219</v>
      </c>
      <c r="C188" t="s">
        <v>16</v>
      </c>
      <c r="D188" t="s">
        <v>17</v>
      </c>
      <c r="E188" t="s">
        <v>72</v>
      </c>
      <c r="F188" t="s">
        <v>28</v>
      </c>
      <c r="G188" t="s">
        <v>24</v>
      </c>
      <c r="H188">
        <v>2</v>
      </c>
      <c r="I188" s="2">
        <v>1988</v>
      </c>
      <c r="J188">
        <f t="shared" si="4"/>
        <v>3976</v>
      </c>
      <c r="K188" t="str">
        <f>TEXT(Tabla1[[#This Row],[Fecha]],"MMMM")</f>
        <v>June</v>
      </c>
      <c r="L188" t="str">
        <f>TEXT(Tabla1[[#This Row],[Fecha]],"DD")</f>
        <v>30</v>
      </c>
      <c r="M188" t="str">
        <f>TEXT(Tabla1[[#This Row],[Fecha]],"yyyy")</f>
        <v>2024</v>
      </c>
      <c r="N188">
        <f>MONTH(Tabla1[[#This Row],[Fecha]])</f>
        <v>6</v>
      </c>
      <c r="O188" s="2" t="str">
        <f t="shared" si="5"/>
        <v>T2-24</v>
      </c>
    </row>
    <row r="189" spans="1:15" x14ac:dyDescent="0.25">
      <c r="A189" s="8">
        <v>188</v>
      </c>
      <c r="B189" t="s">
        <v>220</v>
      </c>
      <c r="C189" t="s">
        <v>26</v>
      </c>
      <c r="D189" t="s">
        <v>27</v>
      </c>
      <c r="E189" t="s">
        <v>50</v>
      </c>
      <c r="F189" t="s">
        <v>28</v>
      </c>
      <c r="G189" t="s">
        <v>14</v>
      </c>
      <c r="H189">
        <v>14</v>
      </c>
      <c r="I189" s="2">
        <v>3143</v>
      </c>
      <c r="J189">
        <f t="shared" si="4"/>
        <v>44002</v>
      </c>
      <c r="K189" t="str">
        <f>TEXT(Tabla1[[#This Row],[Fecha]],"MMMM")</f>
        <v>February</v>
      </c>
      <c r="L189" t="str">
        <f>TEXT(Tabla1[[#This Row],[Fecha]],"DD")</f>
        <v>19</v>
      </c>
      <c r="M189" t="str">
        <f>TEXT(Tabla1[[#This Row],[Fecha]],"yyyy")</f>
        <v>2023</v>
      </c>
      <c r="N189">
        <f>MONTH(Tabla1[[#This Row],[Fecha]])</f>
        <v>2</v>
      </c>
      <c r="O189" s="2" t="str">
        <f t="shared" si="5"/>
        <v>T1-23</v>
      </c>
    </row>
    <row r="190" spans="1:15" x14ac:dyDescent="0.25">
      <c r="A190" s="8">
        <v>189</v>
      </c>
      <c r="B190" t="s">
        <v>147</v>
      </c>
      <c r="C190" t="s">
        <v>16</v>
      </c>
      <c r="D190" t="s">
        <v>17</v>
      </c>
      <c r="E190" t="s">
        <v>32</v>
      </c>
      <c r="F190" t="s">
        <v>33</v>
      </c>
      <c r="G190" t="s">
        <v>24</v>
      </c>
      <c r="H190">
        <v>25</v>
      </c>
      <c r="I190" s="2">
        <v>3954</v>
      </c>
      <c r="J190">
        <f t="shared" si="4"/>
        <v>98850</v>
      </c>
      <c r="K190" t="str">
        <f>TEXT(Tabla1[[#This Row],[Fecha]],"MMMM")</f>
        <v>October</v>
      </c>
      <c r="L190" t="str">
        <f>TEXT(Tabla1[[#This Row],[Fecha]],"DD")</f>
        <v>07</v>
      </c>
      <c r="M190" t="str">
        <f>TEXT(Tabla1[[#This Row],[Fecha]],"yyyy")</f>
        <v>2025</v>
      </c>
      <c r="N190">
        <f>MONTH(Tabla1[[#This Row],[Fecha]])</f>
        <v>10</v>
      </c>
      <c r="O190" s="2" t="str">
        <f t="shared" si="5"/>
        <v>T4-25</v>
      </c>
    </row>
    <row r="191" spans="1:15" x14ac:dyDescent="0.25">
      <c r="A191" s="8">
        <v>190</v>
      </c>
      <c r="B191" t="s">
        <v>221</v>
      </c>
      <c r="C191" t="s">
        <v>49</v>
      </c>
      <c r="D191" t="s">
        <v>21</v>
      </c>
      <c r="E191" t="s">
        <v>61</v>
      </c>
      <c r="F191" t="s">
        <v>23</v>
      </c>
      <c r="G191" t="s">
        <v>14</v>
      </c>
      <c r="H191">
        <v>20</v>
      </c>
      <c r="I191" s="2">
        <v>1223</v>
      </c>
      <c r="J191">
        <f t="shared" si="4"/>
        <v>24460</v>
      </c>
      <c r="K191" t="str">
        <f>TEXT(Tabla1[[#This Row],[Fecha]],"MMMM")</f>
        <v>November</v>
      </c>
      <c r="L191" t="str">
        <f>TEXT(Tabla1[[#This Row],[Fecha]],"DD")</f>
        <v>20</v>
      </c>
      <c r="M191" t="str">
        <f>TEXT(Tabla1[[#This Row],[Fecha]],"yyyy")</f>
        <v>2023</v>
      </c>
      <c r="N191">
        <f>MONTH(Tabla1[[#This Row],[Fecha]])</f>
        <v>11</v>
      </c>
      <c r="O191" s="2" t="str">
        <f t="shared" si="5"/>
        <v>T4-23</v>
      </c>
    </row>
    <row r="192" spans="1:15" x14ac:dyDescent="0.25">
      <c r="A192" s="8">
        <v>191</v>
      </c>
      <c r="B192" t="s">
        <v>222</v>
      </c>
      <c r="C192" t="s">
        <v>10</v>
      </c>
      <c r="D192" t="s">
        <v>11</v>
      </c>
      <c r="E192" t="s">
        <v>12</v>
      </c>
      <c r="F192" t="s">
        <v>33</v>
      </c>
      <c r="G192" t="s">
        <v>24</v>
      </c>
      <c r="H192">
        <v>21</v>
      </c>
      <c r="I192" s="2">
        <v>1915</v>
      </c>
      <c r="J192">
        <f t="shared" si="4"/>
        <v>40215</v>
      </c>
      <c r="K192" t="str">
        <f>TEXT(Tabla1[[#This Row],[Fecha]],"MMMM")</f>
        <v>August</v>
      </c>
      <c r="L192" t="str">
        <f>TEXT(Tabla1[[#This Row],[Fecha]],"DD")</f>
        <v>27</v>
      </c>
      <c r="M192" t="str">
        <f>TEXT(Tabla1[[#This Row],[Fecha]],"yyyy")</f>
        <v>2024</v>
      </c>
      <c r="N192">
        <f>MONTH(Tabla1[[#This Row],[Fecha]])</f>
        <v>8</v>
      </c>
      <c r="O192" s="2" t="str">
        <f t="shared" si="5"/>
        <v>T3-24</v>
      </c>
    </row>
    <row r="193" spans="1:15" x14ac:dyDescent="0.25">
      <c r="A193" s="8">
        <v>192</v>
      </c>
      <c r="B193" t="s">
        <v>223</v>
      </c>
      <c r="C193" t="s">
        <v>10</v>
      </c>
      <c r="D193" t="s">
        <v>11</v>
      </c>
      <c r="E193" t="s">
        <v>41</v>
      </c>
      <c r="F193" t="s">
        <v>33</v>
      </c>
      <c r="G193" t="s">
        <v>24</v>
      </c>
      <c r="H193">
        <v>2</v>
      </c>
      <c r="I193" s="2">
        <v>3435</v>
      </c>
      <c r="J193">
        <f t="shared" si="4"/>
        <v>6870</v>
      </c>
      <c r="K193" t="str">
        <f>TEXT(Tabla1[[#This Row],[Fecha]],"MMMM")</f>
        <v>April</v>
      </c>
      <c r="L193" t="str">
        <f>TEXT(Tabla1[[#This Row],[Fecha]],"DD")</f>
        <v>24</v>
      </c>
      <c r="M193" t="str">
        <f>TEXT(Tabla1[[#This Row],[Fecha]],"yyyy")</f>
        <v>2024</v>
      </c>
      <c r="N193">
        <f>MONTH(Tabla1[[#This Row],[Fecha]])</f>
        <v>4</v>
      </c>
      <c r="O193" s="2" t="str">
        <f t="shared" si="5"/>
        <v>T2-24</v>
      </c>
    </row>
    <row r="194" spans="1:15" x14ac:dyDescent="0.25">
      <c r="A194" s="8">
        <v>193</v>
      </c>
      <c r="B194" t="s">
        <v>224</v>
      </c>
      <c r="C194" t="s">
        <v>46</v>
      </c>
      <c r="D194" t="s">
        <v>38</v>
      </c>
      <c r="E194" t="s">
        <v>12</v>
      </c>
      <c r="F194" t="s">
        <v>13</v>
      </c>
      <c r="G194" t="s">
        <v>24</v>
      </c>
      <c r="H194">
        <v>20</v>
      </c>
      <c r="I194" s="2">
        <v>407</v>
      </c>
      <c r="J194">
        <f t="shared" ref="J194:J257" si="6">I194*H194</f>
        <v>8140</v>
      </c>
      <c r="K194" t="str">
        <f>TEXT(Tabla1[[#This Row],[Fecha]],"MMMM")</f>
        <v>January</v>
      </c>
      <c r="L194" t="str">
        <f>TEXT(Tabla1[[#This Row],[Fecha]],"DD")</f>
        <v>14</v>
      </c>
      <c r="M194" t="str">
        <f>TEXT(Tabla1[[#This Row],[Fecha]],"yyyy")</f>
        <v>2023</v>
      </c>
      <c r="N194">
        <f>MONTH(Tabla1[[#This Row],[Fecha]])</f>
        <v>1</v>
      </c>
      <c r="O194" s="2" t="str">
        <f t="shared" ref="O194:O257" si="7">"T"&amp;ROUNDUP(MONTH(B194)/3,0)&amp;"-"&amp;RIGHT(YEAR(B194),2)</f>
        <v>T1-23</v>
      </c>
    </row>
    <row r="195" spans="1:15" x14ac:dyDescent="0.25">
      <c r="A195" s="8">
        <v>194</v>
      </c>
      <c r="B195" t="s">
        <v>225</v>
      </c>
      <c r="C195" t="s">
        <v>26</v>
      </c>
      <c r="D195" t="s">
        <v>27</v>
      </c>
      <c r="E195" t="s">
        <v>50</v>
      </c>
      <c r="F195" t="s">
        <v>28</v>
      </c>
      <c r="G195" t="s">
        <v>14</v>
      </c>
      <c r="H195">
        <v>6</v>
      </c>
      <c r="I195" s="2">
        <v>4195</v>
      </c>
      <c r="J195">
        <f t="shared" si="6"/>
        <v>25170</v>
      </c>
      <c r="K195" t="str">
        <f>TEXT(Tabla1[[#This Row],[Fecha]],"MMMM")</f>
        <v>October</v>
      </c>
      <c r="L195" t="str">
        <f>TEXT(Tabla1[[#This Row],[Fecha]],"DD")</f>
        <v>02</v>
      </c>
      <c r="M195" t="str">
        <f>TEXT(Tabla1[[#This Row],[Fecha]],"yyyy")</f>
        <v>2023</v>
      </c>
      <c r="N195">
        <f>MONTH(Tabla1[[#This Row],[Fecha]])</f>
        <v>10</v>
      </c>
      <c r="O195" s="2" t="str">
        <f t="shared" si="7"/>
        <v>T4-23</v>
      </c>
    </row>
    <row r="196" spans="1:15" x14ac:dyDescent="0.25">
      <c r="A196" s="8">
        <v>195</v>
      </c>
      <c r="B196" t="s">
        <v>135</v>
      </c>
      <c r="C196" t="s">
        <v>10</v>
      </c>
      <c r="D196" t="s">
        <v>11</v>
      </c>
      <c r="E196" t="s">
        <v>44</v>
      </c>
      <c r="F196" t="s">
        <v>35</v>
      </c>
      <c r="G196" t="s">
        <v>14</v>
      </c>
      <c r="H196">
        <v>17</v>
      </c>
      <c r="I196" s="2">
        <v>4314</v>
      </c>
      <c r="J196">
        <f t="shared" si="6"/>
        <v>73338</v>
      </c>
      <c r="K196" t="str">
        <f>TEXT(Tabla1[[#This Row],[Fecha]],"MMMM")</f>
        <v>July</v>
      </c>
      <c r="L196" t="str">
        <f>TEXT(Tabla1[[#This Row],[Fecha]],"DD")</f>
        <v>15</v>
      </c>
      <c r="M196" t="str">
        <f>TEXT(Tabla1[[#This Row],[Fecha]],"yyyy")</f>
        <v>2023</v>
      </c>
      <c r="N196">
        <f>MONTH(Tabla1[[#This Row],[Fecha]])</f>
        <v>7</v>
      </c>
      <c r="O196" s="2" t="str">
        <f t="shared" si="7"/>
        <v>T3-23</v>
      </c>
    </row>
    <row r="197" spans="1:15" x14ac:dyDescent="0.25">
      <c r="A197" s="8">
        <v>196</v>
      </c>
      <c r="B197" t="s">
        <v>226</v>
      </c>
      <c r="C197" t="s">
        <v>30</v>
      </c>
      <c r="D197" t="s">
        <v>17</v>
      </c>
      <c r="E197" t="s">
        <v>52</v>
      </c>
      <c r="F197" t="s">
        <v>35</v>
      </c>
      <c r="G197" t="s">
        <v>14</v>
      </c>
      <c r="H197">
        <v>8</v>
      </c>
      <c r="I197" s="2">
        <v>4644</v>
      </c>
      <c r="J197">
        <f t="shared" si="6"/>
        <v>37152</v>
      </c>
      <c r="K197" t="str">
        <f>TEXT(Tabla1[[#This Row],[Fecha]],"MMMM")</f>
        <v>August</v>
      </c>
      <c r="L197" t="str">
        <f>TEXT(Tabla1[[#This Row],[Fecha]],"DD")</f>
        <v>01</v>
      </c>
      <c r="M197" t="str">
        <f>TEXT(Tabla1[[#This Row],[Fecha]],"yyyy")</f>
        <v>2024</v>
      </c>
      <c r="N197">
        <f>MONTH(Tabla1[[#This Row],[Fecha]])</f>
        <v>8</v>
      </c>
      <c r="O197" s="2" t="str">
        <f t="shared" si="7"/>
        <v>T3-24</v>
      </c>
    </row>
    <row r="198" spans="1:15" x14ac:dyDescent="0.25">
      <c r="A198" s="8">
        <v>197</v>
      </c>
      <c r="B198" t="s">
        <v>227</v>
      </c>
      <c r="C198" t="s">
        <v>16</v>
      </c>
      <c r="D198" t="s">
        <v>17</v>
      </c>
      <c r="E198" t="s">
        <v>50</v>
      </c>
      <c r="F198" t="s">
        <v>18</v>
      </c>
      <c r="G198" t="s">
        <v>24</v>
      </c>
      <c r="H198">
        <v>8</v>
      </c>
      <c r="I198" s="2">
        <v>1353</v>
      </c>
      <c r="J198">
        <f t="shared" si="6"/>
        <v>10824</v>
      </c>
      <c r="K198" t="str">
        <f>TEXT(Tabla1[[#This Row],[Fecha]],"MMMM")</f>
        <v>April</v>
      </c>
      <c r="L198" t="str">
        <f>TEXT(Tabla1[[#This Row],[Fecha]],"DD")</f>
        <v>14</v>
      </c>
      <c r="M198" t="str">
        <f>TEXT(Tabla1[[#This Row],[Fecha]],"yyyy")</f>
        <v>2025</v>
      </c>
      <c r="N198">
        <f>MONTH(Tabla1[[#This Row],[Fecha]])</f>
        <v>4</v>
      </c>
      <c r="O198" s="2" t="str">
        <f t="shared" si="7"/>
        <v>T2-25</v>
      </c>
    </row>
    <row r="199" spans="1:15" x14ac:dyDescent="0.25">
      <c r="A199" s="8">
        <v>198</v>
      </c>
      <c r="B199" t="s">
        <v>228</v>
      </c>
      <c r="C199" t="s">
        <v>16</v>
      </c>
      <c r="D199" t="s">
        <v>17</v>
      </c>
      <c r="E199" t="s">
        <v>61</v>
      </c>
      <c r="F199" t="s">
        <v>18</v>
      </c>
      <c r="G199" t="s">
        <v>14</v>
      </c>
      <c r="H199">
        <v>13</v>
      </c>
      <c r="I199" s="2">
        <v>3922</v>
      </c>
      <c r="J199">
        <f t="shared" si="6"/>
        <v>50986</v>
      </c>
      <c r="K199" t="str">
        <f>TEXT(Tabla1[[#This Row],[Fecha]],"MMMM")</f>
        <v>July</v>
      </c>
      <c r="L199" t="str">
        <f>TEXT(Tabla1[[#This Row],[Fecha]],"DD")</f>
        <v>23</v>
      </c>
      <c r="M199" t="str">
        <f>TEXT(Tabla1[[#This Row],[Fecha]],"yyyy")</f>
        <v>2024</v>
      </c>
      <c r="N199">
        <f>MONTH(Tabla1[[#This Row],[Fecha]])</f>
        <v>7</v>
      </c>
      <c r="O199" s="2" t="str">
        <f t="shared" si="7"/>
        <v>T3-24</v>
      </c>
    </row>
    <row r="200" spans="1:15" x14ac:dyDescent="0.25">
      <c r="A200" s="8">
        <v>199</v>
      </c>
      <c r="B200" t="s">
        <v>229</v>
      </c>
      <c r="C200" t="s">
        <v>10</v>
      </c>
      <c r="D200" t="s">
        <v>11</v>
      </c>
      <c r="E200" t="s">
        <v>44</v>
      </c>
      <c r="F200" t="s">
        <v>23</v>
      </c>
      <c r="G200" t="s">
        <v>14</v>
      </c>
      <c r="H200">
        <v>1</v>
      </c>
      <c r="I200" s="2">
        <v>3125</v>
      </c>
      <c r="J200">
        <f t="shared" si="6"/>
        <v>3125</v>
      </c>
      <c r="K200" t="str">
        <f>TEXT(Tabla1[[#This Row],[Fecha]],"MMMM")</f>
        <v>October</v>
      </c>
      <c r="L200" t="str">
        <f>TEXT(Tabla1[[#This Row],[Fecha]],"DD")</f>
        <v>14</v>
      </c>
      <c r="M200" t="str">
        <f>TEXT(Tabla1[[#This Row],[Fecha]],"yyyy")</f>
        <v>2023</v>
      </c>
      <c r="N200">
        <f>MONTH(Tabla1[[#This Row],[Fecha]])</f>
        <v>10</v>
      </c>
      <c r="O200" s="2" t="str">
        <f t="shared" si="7"/>
        <v>T4-23</v>
      </c>
    </row>
    <row r="201" spans="1:15" x14ac:dyDescent="0.25">
      <c r="A201" s="8">
        <v>200</v>
      </c>
      <c r="B201" t="s">
        <v>230</v>
      </c>
      <c r="C201" t="s">
        <v>16</v>
      </c>
      <c r="D201" t="s">
        <v>17</v>
      </c>
      <c r="E201" t="s">
        <v>58</v>
      </c>
      <c r="F201" t="s">
        <v>28</v>
      </c>
      <c r="G201" t="s">
        <v>24</v>
      </c>
      <c r="H201">
        <v>17</v>
      </c>
      <c r="I201" s="2">
        <v>4834</v>
      </c>
      <c r="J201">
        <f t="shared" si="6"/>
        <v>82178</v>
      </c>
      <c r="K201" t="str">
        <f>TEXT(Tabla1[[#This Row],[Fecha]],"MMMM")</f>
        <v>March</v>
      </c>
      <c r="L201" t="str">
        <f>TEXT(Tabla1[[#This Row],[Fecha]],"DD")</f>
        <v>24</v>
      </c>
      <c r="M201" t="str">
        <f>TEXT(Tabla1[[#This Row],[Fecha]],"yyyy")</f>
        <v>2024</v>
      </c>
      <c r="N201">
        <f>MONTH(Tabla1[[#This Row],[Fecha]])</f>
        <v>3</v>
      </c>
      <c r="O201" s="2" t="str">
        <f t="shared" si="7"/>
        <v>T1-24</v>
      </c>
    </row>
    <row r="202" spans="1:15" x14ac:dyDescent="0.25">
      <c r="A202" s="8">
        <v>201</v>
      </c>
      <c r="B202" t="s">
        <v>190</v>
      </c>
      <c r="C202" t="s">
        <v>49</v>
      </c>
      <c r="D202" t="s">
        <v>21</v>
      </c>
      <c r="E202" t="s">
        <v>50</v>
      </c>
      <c r="F202" t="s">
        <v>23</v>
      </c>
      <c r="G202" t="s">
        <v>14</v>
      </c>
      <c r="H202">
        <v>23</v>
      </c>
      <c r="I202" s="2">
        <v>4615</v>
      </c>
      <c r="J202">
        <f t="shared" si="6"/>
        <v>106145</v>
      </c>
      <c r="K202" t="str">
        <f>TEXT(Tabla1[[#This Row],[Fecha]],"MMMM")</f>
        <v>November</v>
      </c>
      <c r="L202" t="str">
        <f>TEXT(Tabla1[[#This Row],[Fecha]],"DD")</f>
        <v>23</v>
      </c>
      <c r="M202" t="str">
        <f>TEXT(Tabla1[[#This Row],[Fecha]],"yyyy")</f>
        <v>2025</v>
      </c>
      <c r="N202">
        <f>MONTH(Tabla1[[#This Row],[Fecha]])</f>
        <v>11</v>
      </c>
      <c r="O202" s="2" t="str">
        <f t="shared" si="7"/>
        <v>T4-25</v>
      </c>
    </row>
    <row r="203" spans="1:15" x14ac:dyDescent="0.25">
      <c r="A203" s="8">
        <v>202</v>
      </c>
      <c r="B203" t="s">
        <v>231</v>
      </c>
      <c r="C203" t="s">
        <v>16</v>
      </c>
      <c r="D203" t="s">
        <v>17</v>
      </c>
      <c r="E203" t="s">
        <v>52</v>
      </c>
      <c r="F203" t="s">
        <v>42</v>
      </c>
      <c r="G203" t="s">
        <v>14</v>
      </c>
      <c r="H203">
        <v>5</v>
      </c>
      <c r="I203" s="2">
        <v>1224</v>
      </c>
      <c r="J203">
        <f t="shared" si="6"/>
        <v>6120</v>
      </c>
      <c r="K203" t="str">
        <f>TEXT(Tabla1[[#This Row],[Fecha]],"MMMM")</f>
        <v>September</v>
      </c>
      <c r="L203" t="str">
        <f>TEXT(Tabla1[[#This Row],[Fecha]],"DD")</f>
        <v>14</v>
      </c>
      <c r="M203" t="str">
        <f>TEXT(Tabla1[[#This Row],[Fecha]],"yyyy")</f>
        <v>2024</v>
      </c>
      <c r="N203">
        <f>MONTH(Tabla1[[#This Row],[Fecha]])</f>
        <v>9</v>
      </c>
      <c r="O203" s="2" t="str">
        <f t="shared" si="7"/>
        <v>T3-24</v>
      </c>
    </row>
    <row r="204" spans="1:15" x14ac:dyDescent="0.25">
      <c r="A204" s="8">
        <v>203</v>
      </c>
      <c r="B204" t="s">
        <v>232</v>
      </c>
      <c r="C204" t="s">
        <v>30</v>
      </c>
      <c r="D204" t="s">
        <v>17</v>
      </c>
      <c r="E204" t="s">
        <v>58</v>
      </c>
      <c r="F204" t="s">
        <v>35</v>
      </c>
      <c r="G204" t="s">
        <v>24</v>
      </c>
      <c r="H204">
        <v>13</v>
      </c>
      <c r="I204" s="2">
        <v>3442</v>
      </c>
      <c r="J204">
        <f t="shared" si="6"/>
        <v>44746</v>
      </c>
      <c r="K204" t="str">
        <f>TEXT(Tabla1[[#This Row],[Fecha]],"MMMM")</f>
        <v>August</v>
      </c>
      <c r="L204" t="str">
        <f>TEXT(Tabla1[[#This Row],[Fecha]],"DD")</f>
        <v>22</v>
      </c>
      <c r="M204" t="str">
        <f>TEXT(Tabla1[[#This Row],[Fecha]],"yyyy")</f>
        <v>2024</v>
      </c>
      <c r="N204">
        <f>MONTH(Tabla1[[#This Row],[Fecha]])</f>
        <v>8</v>
      </c>
      <c r="O204" s="2" t="str">
        <f t="shared" si="7"/>
        <v>T3-24</v>
      </c>
    </row>
    <row r="205" spans="1:15" x14ac:dyDescent="0.25">
      <c r="A205" s="8">
        <v>204</v>
      </c>
      <c r="B205" t="s">
        <v>233</v>
      </c>
      <c r="C205" t="s">
        <v>30</v>
      </c>
      <c r="D205" t="s">
        <v>17</v>
      </c>
      <c r="E205" t="s">
        <v>32</v>
      </c>
      <c r="F205" t="s">
        <v>18</v>
      </c>
      <c r="G205" t="s">
        <v>14</v>
      </c>
      <c r="H205">
        <v>7</v>
      </c>
      <c r="I205" s="2">
        <v>1438</v>
      </c>
      <c r="J205">
        <f t="shared" si="6"/>
        <v>10066</v>
      </c>
      <c r="K205" t="str">
        <f>TEXT(Tabla1[[#This Row],[Fecha]],"MMMM")</f>
        <v>May</v>
      </c>
      <c r="L205" t="str">
        <f>TEXT(Tabla1[[#This Row],[Fecha]],"DD")</f>
        <v>18</v>
      </c>
      <c r="M205" t="str">
        <f>TEXT(Tabla1[[#This Row],[Fecha]],"yyyy")</f>
        <v>2024</v>
      </c>
      <c r="N205">
        <f>MONTH(Tabla1[[#This Row],[Fecha]])</f>
        <v>5</v>
      </c>
      <c r="O205" s="2" t="str">
        <f t="shared" si="7"/>
        <v>T2-24</v>
      </c>
    </row>
    <row r="206" spans="1:15" x14ac:dyDescent="0.25">
      <c r="A206" s="8">
        <v>205</v>
      </c>
      <c r="B206" t="s">
        <v>234</v>
      </c>
      <c r="C206" t="s">
        <v>69</v>
      </c>
      <c r="D206" t="s">
        <v>17</v>
      </c>
      <c r="E206" t="s">
        <v>44</v>
      </c>
      <c r="F206" t="s">
        <v>23</v>
      </c>
      <c r="G206" t="s">
        <v>24</v>
      </c>
      <c r="H206">
        <v>6</v>
      </c>
      <c r="I206" s="2">
        <v>2061</v>
      </c>
      <c r="J206">
        <f t="shared" si="6"/>
        <v>12366</v>
      </c>
      <c r="K206" t="str">
        <f>TEXT(Tabla1[[#This Row],[Fecha]],"MMMM")</f>
        <v>January</v>
      </c>
      <c r="L206" t="str">
        <f>TEXT(Tabla1[[#This Row],[Fecha]],"DD")</f>
        <v>05</v>
      </c>
      <c r="M206" t="str">
        <f>TEXT(Tabla1[[#This Row],[Fecha]],"yyyy")</f>
        <v>2025</v>
      </c>
      <c r="N206">
        <f>MONTH(Tabla1[[#This Row],[Fecha]])</f>
        <v>1</v>
      </c>
      <c r="O206" s="2" t="str">
        <f t="shared" si="7"/>
        <v>T1-25</v>
      </c>
    </row>
    <row r="207" spans="1:15" x14ac:dyDescent="0.25">
      <c r="A207" s="8">
        <v>206</v>
      </c>
      <c r="B207" t="s">
        <v>15</v>
      </c>
      <c r="C207" t="s">
        <v>37</v>
      </c>
      <c r="D207" t="s">
        <v>38</v>
      </c>
      <c r="E207" t="s">
        <v>12</v>
      </c>
      <c r="F207" t="s">
        <v>42</v>
      </c>
      <c r="G207" t="s">
        <v>24</v>
      </c>
      <c r="H207">
        <v>12</v>
      </c>
      <c r="I207" s="2">
        <v>3213</v>
      </c>
      <c r="J207">
        <f t="shared" si="6"/>
        <v>38556</v>
      </c>
      <c r="K207" t="str">
        <f>TEXT(Tabla1[[#This Row],[Fecha]],"MMMM")</f>
        <v>July</v>
      </c>
      <c r="L207" t="str">
        <f>TEXT(Tabla1[[#This Row],[Fecha]],"DD")</f>
        <v>22</v>
      </c>
      <c r="M207" t="str">
        <f>TEXT(Tabla1[[#This Row],[Fecha]],"yyyy")</f>
        <v>2025</v>
      </c>
      <c r="N207">
        <f>MONTH(Tabla1[[#This Row],[Fecha]])</f>
        <v>7</v>
      </c>
      <c r="O207" s="2" t="str">
        <f t="shared" si="7"/>
        <v>T3-25</v>
      </c>
    </row>
    <row r="208" spans="1:15" x14ac:dyDescent="0.25">
      <c r="A208" s="8">
        <v>207</v>
      </c>
      <c r="B208" t="s">
        <v>235</v>
      </c>
      <c r="C208" t="s">
        <v>30</v>
      </c>
      <c r="D208" t="s">
        <v>17</v>
      </c>
      <c r="E208" t="s">
        <v>50</v>
      </c>
      <c r="F208" t="s">
        <v>33</v>
      </c>
      <c r="G208" t="s">
        <v>24</v>
      </c>
      <c r="H208">
        <v>7</v>
      </c>
      <c r="I208" s="2">
        <v>1294</v>
      </c>
      <c r="J208">
        <f t="shared" si="6"/>
        <v>9058</v>
      </c>
      <c r="K208" t="str">
        <f>TEXT(Tabla1[[#This Row],[Fecha]],"MMMM")</f>
        <v>March</v>
      </c>
      <c r="L208" t="str">
        <f>TEXT(Tabla1[[#This Row],[Fecha]],"DD")</f>
        <v>13</v>
      </c>
      <c r="M208" t="str">
        <f>TEXT(Tabla1[[#This Row],[Fecha]],"yyyy")</f>
        <v>2023</v>
      </c>
      <c r="N208">
        <f>MONTH(Tabla1[[#This Row],[Fecha]])</f>
        <v>3</v>
      </c>
      <c r="O208" s="2" t="str">
        <f t="shared" si="7"/>
        <v>T1-23</v>
      </c>
    </row>
    <row r="209" spans="1:15" x14ac:dyDescent="0.25">
      <c r="A209" s="8">
        <v>208</v>
      </c>
      <c r="B209" t="s">
        <v>236</v>
      </c>
      <c r="C209" t="s">
        <v>30</v>
      </c>
      <c r="D209" t="s">
        <v>17</v>
      </c>
      <c r="E209" t="s">
        <v>50</v>
      </c>
      <c r="F209" t="s">
        <v>33</v>
      </c>
      <c r="G209" t="s">
        <v>24</v>
      </c>
      <c r="H209">
        <v>4</v>
      </c>
      <c r="I209" s="2">
        <v>2431</v>
      </c>
      <c r="J209">
        <f t="shared" si="6"/>
        <v>9724</v>
      </c>
      <c r="K209" t="str">
        <f>TEXT(Tabla1[[#This Row],[Fecha]],"MMMM")</f>
        <v>November</v>
      </c>
      <c r="L209" t="str">
        <f>TEXT(Tabla1[[#This Row],[Fecha]],"DD")</f>
        <v>16</v>
      </c>
      <c r="M209" t="str">
        <f>TEXT(Tabla1[[#This Row],[Fecha]],"yyyy")</f>
        <v>2025</v>
      </c>
      <c r="N209">
        <f>MONTH(Tabla1[[#This Row],[Fecha]])</f>
        <v>11</v>
      </c>
      <c r="O209" s="2" t="str">
        <f t="shared" si="7"/>
        <v>T4-25</v>
      </c>
    </row>
    <row r="210" spans="1:15" x14ac:dyDescent="0.25">
      <c r="A210" s="8">
        <v>209</v>
      </c>
      <c r="B210" t="s">
        <v>237</v>
      </c>
      <c r="C210" t="s">
        <v>26</v>
      </c>
      <c r="D210" t="s">
        <v>27</v>
      </c>
      <c r="E210" t="s">
        <v>58</v>
      </c>
      <c r="F210" t="s">
        <v>13</v>
      </c>
      <c r="G210" t="s">
        <v>14</v>
      </c>
      <c r="H210">
        <v>2</v>
      </c>
      <c r="I210" s="2">
        <v>1134</v>
      </c>
      <c r="J210">
        <f t="shared" si="6"/>
        <v>2268</v>
      </c>
      <c r="K210" t="str">
        <f>TEXT(Tabla1[[#This Row],[Fecha]],"MMMM")</f>
        <v>October</v>
      </c>
      <c r="L210" t="str">
        <f>TEXT(Tabla1[[#This Row],[Fecha]],"DD")</f>
        <v>09</v>
      </c>
      <c r="M210" t="str">
        <f>TEXT(Tabla1[[#This Row],[Fecha]],"yyyy")</f>
        <v>2024</v>
      </c>
      <c r="N210">
        <f>MONTH(Tabla1[[#This Row],[Fecha]])</f>
        <v>10</v>
      </c>
      <c r="O210" s="2" t="str">
        <f t="shared" si="7"/>
        <v>T4-24</v>
      </c>
    </row>
    <row r="211" spans="1:15" x14ac:dyDescent="0.25">
      <c r="A211" s="8">
        <v>210</v>
      </c>
      <c r="B211" t="s">
        <v>184</v>
      </c>
      <c r="C211" t="s">
        <v>10</v>
      </c>
      <c r="D211" t="s">
        <v>11</v>
      </c>
      <c r="E211" t="s">
        <v>12</v>
      </c>
      <c r="F211" t="s">
        <v>33</v>
      </c>
      <c r="G211" t="s">
        <v>24</v>
      </c>
      <c r="H211">
        <v>15</v>
      </c>
      <c r="I211" s="2">
        <v>1587</v>
      </c>
      <c r="J211">
        <f t="shared" si="6"/>
        <v>23805</v>
      </c>
      <c r="K211" t="str">
        <f>TEXT(Tabla1[[#This Row],[Fecha]],"MMMM")</f>
        <v>August</v>
      </c>
      <c r="L211" t="str">
        <f>TEXT(Tabla1[[#This Row],[Fecha]],"DD")</f>
        <v>22</v>
      </c>
      <c r="M211" t="str">
        <f>TEXT(Tabla1[[#This Row],[Fecha]],"yyyy")</f>
        <v>2025</v>
      </c>
      <c r="N211">
        <f>MONTH(Tabla1[[#This Row],[Fecha]])</f>
        <v>8</v>
      </c>
      <c r="O211" s="2" t="str">
        <f t="shared" si="7"/>
        <v>T3-25</v>
      </c>
    </row>
    <row r="212" spans="1:15" x14ac:dyDescent="0.25">
      <c r="A212" s="8">
        <v>211</v>
      </c>
      <c r="B212" t="s">
        <v>238</v>
      </c>
      <c r="C212" t="s">
        <v>20</v>
      </c>
      <c r="D212" t="s">
        <v>21</v>
      </c>
      <c r="E212" t="s">
        <v>41</v>
      </c>
      <c r="F212" t="s">
        <v>18</v>
      </c>
      <c r="G212" t="s">
        <v>14</v>
      </c>
      <c r="H212">
        <v>11</v>
      </c>
      <c r="I212" s="2">
        <v>4780</v>
      </c>
      <c r="J212">
        <f t="shared" si="6"/>
        <v>52580</v>
      </c>
      <c r="K212" t="str">
        <f>TEXT(Tabla1[[#This Row],[Fecha]],"MMMM")</f>
        <v>June</v>
      </c>
      <c r="L212" t="str">
        <f>TEXT(Tabla1[[#This Row],[Fecha]],"DD")</f>
        <v>28</v>
      </c>
      <c r="M212" t="str">
        <f>TEXT(Tabla1[[#This Row],[Fecha]],"yyyy")</f>
        <v>2024</v>
      </c>
      <c r="N212">
        <f>MONTH(Tabla1[[#This Row],[Fecha]])</f>
        <v>6</v>
      </c>
      <c r="O212" s="2" t="str">
        <f t="shared" si="7"/>
        <v>T2-24</v>
      </c>
    </row>
    <row r="213" spans="1:15" x14ac:dyDescent="0.25">
      <c r="A213" s="8">
        <v>212</v>
      </c>
      <c r="B213" t="s">
        <v>239</v>
      </c>
      <c r="C213" t="s">
        <v>26</v>
      </c>
      <c r="D213" t="s">
        <v>27</v>
      </c>
      <c r="E213" t="s">
        <v>52</v>
      </c>
      <c r="F213" t="s">
        <v>23</v>
      </c>
      <c r="G213" t="s">
        <v>24</v>
      </c>
      <c r="H213">
        <v>1</v>
      </c>
      <c r="I213" s="2">
        <v>4399</v>
      </c>
      <c r="J213">
        <f t="shared" si="6"/>
        <v>4399</v>
      </c>
      <c r="K213" t="str">
        <f>TEXT(Tabla1[[#This Row],[Fecha]],"MMMM")</f>
        <v>January</v>
      </c>
      <c r="L213" t="str">
        <f>TEXT(Tabla1[[#This Row],[Fecha]],"DD")</f>
        <v>23</v>
      </c>
      <c r="M213" t="str">
        <f>TEXT(Tabla1[[#This Row],[Fecha]],"yyyy")</f>
        <v>2025</v>
      </c>
      <c r="N213">
        <f>MONTH(Tabla1[[#This Row],[Fecha]])</f>
        <v>1</v>
      </c>
      <c r="O213" s="2" t="str">
        <f t="shared" si="7"/>
        <v>T1-25</v>
      </c>
    </row>
    <row r="214" spans="1:15" x14ac:dyDescent="0.25">
      <c r="A214" s="8">
        <v>213</v>
      </c>
      <c r="B214" t="s">
        <v>196</v>
      </c>
      <c r="C214" t="s">
        <v>66</v>
      </c>
      <c r="D214" t="s">
        <v>17</v>
      </c>
      <c r="E214" t="s">
        <v>58</v>
      </c>
      <c r="F214" t="s">
        <v>28</v>
      </c>
      <c r="G214" t="s">
        <v>24</v>
      </c>
      <c r="H214">
        <v>15</v>
      </c>
      <c r="I214" s="2">
        <v>2199</v>
      </c>
      <c r="J214">
        <f t="shared" si="6"/>
        <v>32985</v>
      </c>
      <c r="K214" t="str">
        <f>TEXT(Tabla1[[#This Row],[Fecha]],"MMMM")</f>
        <v>March</v>
      </c>
      <c r="L214" t="str">
        <f>TEXT(Tabla1[[#This Row],[Fecha]],"DD")</f>
        <v>29</v>
      </c>
      <c r="M214" t="str">
        <f>TEXT(Tabla1[[#This Row],[Fecha]],"yyyy")</f>
        <v>2024</v>
      </c>
      <c r="N214">
        <f>MONTH(Tabla1[[#This Row],[Fecha]])</f>
        <v>3</v>
      </c>
      <c r="O214" s="2" t="str">
        <f t="shared" si="7"/>
        <v>T1-24</v>
      </c>
    </row>
    <row r="215" spans="1:15" x14ac:dyDescent="0.25">
      <c r="A215" s="8">
        <v>214</v>
      </c>
      <c r="B215" t="s">
        <v>221</v>
      </c>
      <c r="C215" t="s">
        <v>66</v>
      </c>
      <c r="D215" t="s">
        <v>17</v>
      </c>
      <c r="E215" t="s">
        <v>32</v>
      </c>
      <c r="F215" t="s">
        <v>13</v>
      </c>
      <c r="G215" t="s">
        <v>24</v>
      </c>
      <c r="H215">
        <v>12</v>
      </c>
      <c r="I215" s="2">
        <v>3768</v>
      </c>
      <c r="J215">
        <f t="shared" si="6"/>
        <v>45216</v>
      </c>
      <c r="K215" t="str">
        <f>TEXT(Tabla1[[#This Row],[Fecha]],"MMMM")</f>
        <v>November</v>
      </c>
      <c r="L215" t="str">
        <f>TEXT(Tabla1[[#This Row],[Fecha]],"DD")</f>
        <v>20</v>
      </c>
      <c r="M215" t="str">
        <f>TEXT(Tabla1[[#This Row],[Fecha]],"yyyy")</f>
        <v>2023</v>
      </c>
      <c r="N215">
        <f>MONTH(Tabla1[[#This Row],[Fecha]])</f>
        <v>11</v>
      </c>
      <c r="O215" s="2" t="str">
        <f t="shared" si="7"/>
        <v>T4-23</v>
      </c>
    </row>
    <row r="216" spans="1:15" x14ac:dyDescent="0.25">
      <c r="A216" s="8">
        <v>215</v>
      </c>
      <c r="B216" t="s">
        <v>240</v>
      </c>
      <c r="C216" t="s">
        <v>46</v>
      </c>
      <c r="D216" t="s">
        <v>38</v>
      </c>
      <c r="E216" t="s">
        <v>72</v>
      </c>
      <c r="F216" t="s">
        <v>28</v>
      </c>
      <c r="G216" t="s">
        <v>14</v>
      </c>
      <c r="H216">
        <v>24</v>
      </c>
      <c r="I216" s="2">
        <v>2871</v>
      </c>
      <c r="J216">
        <f t="shared" si="6"/>
        <v>68904</v>
      </c>
      <c r="K216" t="str">
        <f>TEXT(Tabla1[[#This Row],[Fecha]],"MMMM")</f>
        <v>January</v>
      </c>
      <c r="L216" t="str">
        <f>TEXT(Tabla1[[#This Row],[Fecha]],"DD")</f>
        <v>20</v>
      </c>
      <c r="M216" t="str">
        <f>TEXT(Tabla1[[#This Row],[Fecha]],"yyyy")</f>
        <v>2024</v>
      </c>
      <c r="N216">
        <f>MONTH(Tabla1[[#This Row],[Fecha]])</f>
        <v>1</v>
      </c>
      <c r="O216" s="2" t="str">
        <f t="shared" si="7"/>
        <v>T1-24</v>
      </c>
    </row>
    <row r="217" spans="1:15" x14ac:dyDescent="0.25">
      <c r="A217" s="8">
        <v>216</v>
      </c>
      <c r="B217" t="s">
        <v>241</v>
      </c>
      <c r="C217" t="s">
        <v>10</v>
      </c>
      <c r="D217" t="s">
        <v>11</v>
      </c>
      <c r="E217" t="s">
        <v>22</v>
      </c>
      <c r="F217" t="s">
        <v>23</v>
      </c>
      <c r="G217" t="s">
        <v>24</v>
      </c>
      <c r="H217">
        <v>25</v>
      </c>
      <c r="I217" s="2">
        <v>2632</v>
      </c>
      <c r="J217">
        <f t="shared" si="6"/>
        <v>65800</v>
      </c>
      <c r="K217" t="str">
        <f>TEXT(Tabla1[[#This Row],[Fecha]],"MMMM")</f>
        <v>October</v>
      </c>
      <c r="L217" t="str">
        <f>TEXT(Tabla1[[#This Row],[Fecha]],"DD")</f>
        <v>26</v>
      </c>
      <c r="M217" t="str">
        <f>TEXT(Tabla1[[#This Row],[Fecha]],"yyyy")</f>
        <v>2025</v>
      </c>
      <c r="N217">
        <f>MONTH(Tabla1[[#This Row],[Fecha]])</f>
        <v>10</v>
      </c>
      <c r="O217" s="2" t="str">
        <f t="shared" si="7"/>
        <v>T4-25</v>
      </c>
    </row>
    <row r="218" spans="1:15" x14ac:dyDescent="0.25">
      <c r="A218" s="8">
        <v>217</v>
      </c>
      <c r="B218" t="s">
        <v>220</v>
      </c>
      <c r="C218" t="s">
        <v>46</v>
      </c>
      <c r="D218" t="s">
        <v>38</v>
      </c>
      <c r="E218" t="s">
        <v>61</v>
      </c>
      <c r="F218" t="s">
        <v>18</v>
      </c>
      <c r="G218" t="s">
        <v>24</v>
      </c>
      <c r="H218">
        <v>18</v>
      </c>
      <c r="I218" s="2">
        <v>2538</v>
      </c>
      <c r="J218">
        <f t="shared" si="6"/>
        <v>45684</v>
      </c>
      <c r="K218" t="str">
        <f>TEXT(Tabla1[[#This Row],[Fecha]],"MMMM")</f>
        <v>February</v>
      </c>
      <c r="L218" t="str">
        <f>TEXT(Tabla1[[#This Row],[Fecha]],"DD")</f>
        <v>19</v>
      </c>
      <c r="M218" t="str">
        <f>TEXT(Tabla1[[#This Row],[Fecha]],"yyyy")</f>
        <v>2023</v>
      </c>
      <c r="N218">
        <f>MONTH(Tabla1[[#This Row],[Fecha]])</f>
        <v>2</v>
      </c>
      <c r="O218" s="2" t="str">
        <f t="shared" si="7"/>
        <v>T1-23</v>
      </c>
    </row>
    <row r="219" spans="1:15" x14ac:dyDescent="0.25">
      <c r="A219" s="8">
        <v>218</v>
      </c>
      <c r="B219" t="s">
        <v>242</v>
      </c>
      <c r="C219" t="s">
        <v>49</v>
      </c>
      <c r="D219" t="s">
        <v>21</v>
      </c>
      <c r="E219" t="s">
        <v>50</v>
      </c>
      <c r="F219" t="s">
        <v>18</v>
      </c>
      <c r="G219" t="s">
        <v>14</v>
      </c>
      <c r="H219">
        <v>7</v>
      </c>
      <c r="I219" s="2">
        <v>4259</v>
      </c>
      <c r="J219">
        <f t="shared" si="6"/>
        <v>29813</v>
      </c>
      <c r="K219" t="str">
        <f>TEXT(Tabla1[[#This Row],[Fecha]],"MMMM")</f>
        <v>March</v>
      </c>
      <c r="L219" t="str">
        <f>TEXT(Tabla1[[#This Row],[Fecha]],"DD")</f>
        <v>26</v>
      </c>
      <c r="M219" t="str">
        <f>TEXT(Tabla1[[#This Row],[Fecha]],"yyyy")</f>
        <v>2025</v>
      </c>
      <c r="N219">
        <f>MONTH(Tabla1[[#This Row],[Fecha]])</f>
        <v>3</v>
      </c>
      <c r="O219" s="2" t="str">
        <f t="shared" si="7"/>
        <v>T1-25</v>
      </c>
    </row>
    <row r="220" spans="1:15" x14ac:dyDescent="0.25">
      <c r="A220" s="8">
        <v>219</v>
      </c>
      <c r="B220" t="s">
        <v>243</v>
      </c>
      <c r="C220" t="s">
        <v>16</v>
      </c>
      <c r="D220" t="s">
        <v>17</v>
      </c>
      <c r="E220" t="s">
        <v>72</v>
      </c>
      <c r="F220" t="s">
        <v>42</v>
      </c>
      <c r="G220" t="s">
        <v>14</v>
      </c>
      <c r="H220">
        <v>9</v>
      </c>
      <c r="I220" s="2">
        <v>564</v>
      </c>
      <c r="J220">
        <f t="shared" si="6"/>
        <v>5076</v>
      </c>
      <c r="K220" t="str">
        <f>TEXT(Tabla1[[#This Row],[Fecha]],"MMMM")</f>
        <v>February</v>
      </c>
      <c r="L220" t="str">
        <f>TEXT(Tabla1[[#This Row],[Fecha]],"DD")</f>
        <v>12</v>
      </c>
      <c r="M220" t="str">
        <f>TEXT(Tabla1[[#This Row],[Fecha]],"yyyy")</f>
        <v>2024</v>
      </c>
      <c r="N220">
        <f>MONTH(Tabla1[[#This Row],[Fecha]])</f>
        <v>2</v>
      </c>
      <c r="O220" s="2" t="str">
        <f t="shared" si="7"/>
        <v>T1-24</v>
      </c>
    </row>
    <row r="221" spans="1:15" x14ac:dyDescent="0.25">
      <c r="A221" s="8">
        <v>220</v>
      </c>
      <c r="B221" t="s">
        <v>244</v>
      </c>
      <c r="C221" t="s">
        <v>49</v>
      </c>
      <c r="D221" t="s">
        <v>21</v>
      </c>
      <c r="E221" t="s">
        <v>72</v>
      </c>
      <c r="F221" t="s">
        <v>18</v>
      </c>
      <c r="G221" t="s">
        <v>24</v>
      </c>
      <c r="H221">
        <v>7</v>
      </c>
      <c r="I221" s="2">
        <v>1230</v>
      </c>
      <c r="J221">
        <f t="shared" si="6"/>
        <v>8610</v>
      </c>
      <c r="K221" t="str">
        <f>TEXT(Tabla1[[#This Row],[Fecha]],"MMMM")</f>
        <v>June</v>
      </c>
      <c r="L221" t="str">
        <f>TEXT(Tabla1[[#This Row],[Fecha]],"DD")</f>
        <v>30</v>
      </c>
      <c r="M221" t="str">
        <f>TEXT(Tabla1[[#This Row],[Fecha]],"yyyy")</f>
        <v>2023</v>
      </c>
      <c r="N221">
        <f>MONTH(Tabla1[[#This Row],[Fecha]])</f>
        <v>6</v>
      </c>
      <c r="O221" s="2" t="str">
        <f t="shared" si="7"/>
        <v>T2-23</v>
      </c>
    </row>
    <row r="222" spans="1:15" x14ac:dyDescent="0.25">
      <c r="A222" s="8">
        <v>221</v>
      </c>
      <c r="B222" t="s">
        <v>152</v>
      </c>
      <c r="C222" t="s">
        <v>49</v>
      </c>
      <c r="D222" t="s">
        <v>21</v>
      </c>
      <c r="E222" t="s">
        <v>44</v>
      </c>
      <c r="F222" t="s">
        <v>13</v>
      </c>
      <c r="G222" t="s">
        <v>14</v>
      </c>
      <c r="H222">
        <v>20</v>
      </c>
      <c r="I222" s="2">
        <v>417</v>
      </c>
      <c r="J222">
        <f t="shared" si="6"/>
        <v>8340</v>
      </c>
      <c r="K222" t="str">
        <f>TEXT(Tabla1[[#This Row],[Fecha]],"MMMM")</f>
        <v>November</v>
      </c>
      <c r="L222" t="str">
        <f>TEXT(Tabla1[[#This Row],[Fecha]],"DD")</f>
        <v>04</v>
      </c>
      <c r="M222" t="str">
        <f>TEXT(Tabla1[[#This Row],[Fecha]],"yyyy")</f>
        <v>2024</v>
      </c>
      <c r="N222">
        <f>MONTH(Tabla1[[#This Row],[Fecha]])</f>
        <v>11</v>
      </c>
      <c r="O222" s="2" t="str">
        <f t="shared" si="7"/>
        <v>T4-24</v>
      </c>
    </row>
    <row r="223" spans="1:15" x14ac:dyDescent="0.25">
      <c r="A223" s="8">
        <v>222</v>
      </c>
      <c r="B223" t="s">
        <v>235</v>
      </c>
      <c r="C223" t="s">
        <v>16</v>
      </c>
      <c r="D223" t="s">
        <v>17</v>
      </c>
      <c r="E223" t="s">
        <v>44</v>
      </c>
      <c r="F223" t="s">
        <v>18</v>
      </c>
      <c r="G223" t="s">
        <v>24</v>
      </c>
      <c r="H223">
        <v>1</v>
      </c>
      <c r="I223" s="2">
        <v>3519</v>
      </c>
      <c r="J223">
        <f t="shared" si="6"/>
        <v>3519</v>
      </c>
      <c r="K223" t="str">
        <f>TEXT(Tabla1[[#This Row],[Fecha]],"MMMM")</f>
        <v>March</v>
      </c>
      <c r="L223" t="str">
        <f>TEXT(Tabla1[[#This Row],[Fecha]],"DD")</f>
        <v>13</v>
      </c>
      <c r="M223" t="str">
        <f>TEXT(Tabla1[[#This Row],[Fecha]],"yyyy")</f>
        <v>2023</v>
      </c>
      <c r="N223">
        <f>MONTH(Tabla1[[#This Row],[Fecha]])</f>
        <v>3</v>
      </c>
      <c r="O223" s="2" t="str">
        <f t="shared" si="7"/>
        <v>T1-23</v>
      </c>
    </row>
    <row r="224" spans="1:15" x14ac:dyDescent="0.25">
      <c r="A224" s="8">
        <v>223</v>
      </c>
      <c r="B224" t="s">
        <v>245</v>
      </c>
      <c r="C224" t="s">
        <v>49</v>
      </c>
      <c r="D224" t="s">
        <v>21</v>
      </c>
      <c r="E224" t="s">
        <v>72</v>
      </c>
      <c r="F224" t="s">
        <v>33</v>
      </c>
      <c r="G224" t="s">
        <v>24</v>
      </c>
      <c r="H224">
        <v>5</v>
      </c>
      <c r="I224" s="2">
        <v>1230</v>
      </c>
      <c r="J224">
        <f t="shared" si="6"/>
        <v>6150</v>
      </c>
      <c r="K224" t="str">
        <f>TEXT(Tabla1[[#This Row],[Fecha]],"MMMM")</f>
        <v>September</v>
      </c>
      <c r="L224" t="str">
        <f>TEXT(Tabla1[[#This Row],[Fecha]],"DD")</f>
        <v>04</v>
      </c>
      <c r="M224" t="str">
        <f>TEXT(Tabla1[[#This Row],[Fecha]],"yyyy")</f>
        <v>2025</v>
      </c>
      <c r="N224">
        <f>MONTH(Tabla1[[#This Row],[Fecha]])</f>
        <v>9</v>
      </c>
      <c r="O224" s="2" t="str">
        <f t="shared" si="7"/>
        <v>T3-25</v>
      </c>
    </row>
    <row r="225" spans="1:15" x14ac:dyDescent="0.25">
      <c r="A225" s="8">
        <v>224</v>
      </c>
      <c r="B225" t="s">
        <v>246</v>
      </c>
      <c r="C225" t="s">
        <v>30</v>
      </c>
      <c r="D225" t="s">
        <v>17</v>
      </c>
      <c r="E225" t="s">
        <v>41</v>
      </c>
      <c r="F225" t="s">
        <v>23</v>
      </c>
      <c r="G225" t="s">
        <v>14</v>
      </c>
      <c r="H225">
        <v>1</v>
      </c>
      <c r="I225" s="2">
        <v>1367</v>
      </c>
      <c r="J225">
        <f t="shared" si="6"/>
        <v>1367</v>
      </c>
      <c r="K225" t="str">
        <f>TEXT(Tabla1[[#This Row],[Fecha]],"MMMM")</f>
        <v>January</v>
      </c>
      <c r="L225" t="str">
        <f>TEXT(Tabla1[[#This Row],[Fecha]],"DD")</f>
        <v>13</v>
      </c>
      <c r="M225" t="str">
        <f>TEXT(Tabla1[[#This Row],[Fecha]],"yyyy")</f>
        <v>2023</v>
      </c>
      <c r="N225">
        <f>MONTH(Tabla1[[#This Row],[Fecha]])</f>
        <v>1</v>
      </c>
      <c r="O225" s="2" t="str">
        <f t="shared" si="7"/>
        <v>T1-23</v>
      </c>
    </row>
    <row r="226" spans="1:15" x14ac:dyDescent="0.25">
      <c r="A226" s="8">
        <v>225</v>
      </c>
      <c r="B226" t="s">
        <v>247</v>
      </c>
      <c r="C226" t="s">
        <v>37</v>
      </c>
      <c r="D226" t="s">
        <v>38</v>
      </c>
      <c r="E226" t="s">
        <v>41</v>
      </c>
      <c r="F226" t="s">
        <v>42</v>
      </c>
      <c r="G226" t="s">
        <v>14</v>
      </c>
      <c r="H226">
        <v>15</v>
      </c>
      <c r="I226" s="2">
        <v>4397</v>
      </c>
      <c r="J226">
        <f t="shared" si="6"/>
        <v>65955</v>
      </c>
      <c r="K226" t="str">
        <f>TEXT(Tabla1[[#This Row],[Fecha]],"MMMM")</f>
        <v>June</v>
      </c>
      <c r="L226" t="str">
        <f>TEXT(Tabla1[[#This Row],[Fecha]],"DD")</f>
        <v>08</v>
      </c>
      <c r="M226" t="str">
        <f>TEXT(Tabla1[[#This Row],[Fecha]],"yyyy")</f>
        <v>2024</v>
      </c>
      <c r="N226">
        <f>MONTH(Tabla1[[#This Row],[Fecha]])</f>
        <v>6</v>
      </c>
      <c r="O226" s="2" t="str">
        <f t="shared" si="7"/>
        <v>T2-24</v>
      </c>
    </row>
    <row r="227" spans="1:15" x14ac:dyDescent="0.25">
      <c r="A227" s="8">
        <v>226</v>
      </c>
      <c r="B227" t="s">
        <v>214</v>
      </c>
      <c r="C227" t="s">
        <v>10</v>
      </c>
      <c r="D227" t="s">
        <v>11</v>
      </c>
      <c r="E227" t="s">
        <v>12</v>
      </c>
      <c r="F227" t="s">
        <v>18</v>
      </c>
      <c r="G227" t="s">
        <v>14</v>
      </c>
      <c r="H227">
        <v>24</v>
      </c>
      <c r="I227" s="2">
        <v>4043</v>
      </c>
      <c r="J227">
        <f t="shared" si="6"/>
        <v>97032</v>
      </c>
      <c r="K227" t="str">
        <f>TEXT(Tabla1[[#This Row],[Fecha]],"MMMM")</f>
        <v>November</v>
      </c>
      <c r="L227" t="str">
        <f>TEXT(Tabla1[[#This Row],[Fecha]],"DD")</f>
        <v>04</v>
      </c>
      <c r="M227" t="str">
        <f>TEXT(Tabla1[[#This Row],[Fecha]],"yyyy")</f>
        <v>2025</v>
      </c>
      <c r="N227">
        <f>MONTH(Tabla1[[#This Row],[Fecha]])</f>
        <v>11</v>
      </c>
      <c r="O227" s="2" t="str">
        <f t="shared" si="7"/>
        <v>T4-25</v>
      </c>
    </row>
    <row r="228" spans="1:15" x14ac:dyDescent="0.25">
      <c r="A228" s="8">
        <v>227</v>
      </c>
      <c r="B228" t="s">
        <v>191</v>
      </c>
      <c r="C228" t="s">
        <v>66</v>
      </c>
      <c r="D228" t="s">
        <v>17</v>
      </c>
      <c r="E228" t="s">
        <v>52</v>
      </c>
      <c r="F228" t="s">
        <v>23</v>
      </c>
      <c r="G228" t="s">
        <v>14</v>
      </c>
      <c r="H228">
        <v>13</v>
      </c>
      <c r="I228" s="2">
        <v>664</v>
      </c>
      <c r="J228">
        <f t="shared" si="6"/>
        <v>8632</v>
      </c>
      <c r="K228" t="str">
        <f>TEXT(Tabla1[[#This Row],[Fecha]],"MMMM")</f>
        <v>June</v>
      </c>
      <c r="L228" t="str">
        <f>TEXT(Tabla1[[#This Row],[Fecha]],"DD")</f>
        <v>11</v>
      </c>
      <c r="M228" t="str">
        <f>TEXT(Tabla1[[#This Row],[Fecha]],"yyyy")</f>
        <v>2024</v>
      </c>
      <c r="N228">
        <f>MONTH(Tabla1[[#This Row],[Fecha]])</f>
        <v>6</v>
      </c>
      <c r="O228" s="2" t="str">
        <f t="shared" si="7"/>
        <v>T2-24</v>
      </c>
    </row>
    <row r="229" spans="1:15" x14ac:dyDescent="0.25">
      <c r="A229" s="8">
        <v>228</v>
      </c>
      <c r="B229" t="s">
        <v>248</v>
      </c>
      <c r="C229" t="s">
        <v>37</v>
      </c>
      <c r="D229" t="s">
        <v>38</v>
      </c>
      <c r="E229" t="s">
        <v>32</v>
      </c>
      <c r="F229" t="s">
        <v>42</v>
      </c>
      <c r="G229" t="s">
        <v>14</v>
      </c>
      <c r="H229">
        <v>6</v>
      </c>
      <c r="I229" s="2">
        <v>4749</v>
      </c>
      <c r="J229">
        <f t="shared" si="6"/>
        <v>28494</v>
      </c>
      <c r="K229" t="str">
        <f>TEXT(Tabla1[[#This Row],[Fecha]],"MMMM")</f>
        <v>November</v>
      </c>
      <c r="L229" t="str">
        <f>TEXT(Tabla1[[#This Row],[Fecha]],"DD")</f>
        <v>08</v>
      </c>
      <c r="M229" t="str">
        <f>TEXT(Tabla1[[#This Row],[Fecha]],"yyyy")</f>
        <v>2024</v>
      </c>
      <c r="N229">
        <f>MONTH(Tabla1[[#This Row],[Fecha]])</f>
        <v>11</v>
      </c>
      <c r="O229" s="2" t="str">
        <f t="shared" si="7"/>
        <v>T4-24</v>
      </c>
    </row>
    <row r="230" spans="1:15" x14ac:dyDescent="0.25">
      <c r="A230" s="8">
        <v>229</v>
      </c>
      <c r="B230" t="s">
        <v>249</v>
      </c>
      <c r="C230" t="s">
        <v>49</v>
      </c>
      <c r="D230" t="s">
        <v>21</v>
      </c>
      <c r="E230" t="s">
        <v>50</v>
      </c>
      <c r="F230" t="s">
        <v>42</v>
      </c>
      <c r="G230" t="s">
        <v>24</v>
      </c>
      <c r="H230">
        <v>7</v>
      </c>
      <c r="I230" s="2">
        <v>2507</v>
      </c>
      <c r="J230">
        <f t="shared" si="6"/>
        <v>17549</v>
      </c>
      <c r="K230" t="str">
        <f>TEXT(Tabla1[[#This Row],[Fecha]],"MMMM")</f>
        <v>November</v>
      </c>
      <c r="L230" t="str">
        <f>TEXT(Tabla1[[#This Row],[Fecha]],"DD")</f>
        <v>13</v>
      </c>
      <c r="M230" t="str">
        <f>TEXT(Tabla1[[#This Row],[Fecha]],"yyyy")</f>
        <v>2023</v>
      </c>
      <c r="N230">
        <f>MONTH(Tabla1[[#This Row],[Fecha]])</f>
        <v>11</v>
      </c>
      <c r="O230" s="2" t="str">
        <f t="shared" si="7"/>
        <v>T4-23</v>
      </c>
    </row>
    <row r="231" spans="1:15" x14ac:dyDescent="0.25">
      <c r="A231" s="8">
        <v>230</v>
      </c>
      <c r="B231" t="s">
        <v>250</v>
      </c>
      <c r="C231" t="s">
        <v>37</v>
      </c>
      <c r="D231" t="s">
        <v>38</v>
      </c>
      <c r="E231" t="s">
        <v>44</v>
      </c>
      <c r="F231" t="s">
        <v>13</v>
      </c>
      <c r="G231" t="s">
        <v>24</v>
      </c>
      <c r="H231">
        <v>23</v>
      </c>
      <c r="I231" s="2">
        <v>3931</v>
      </c>
      <c r="J231">
        <f t="shared" si="6"/>
        <v>90413</v>
      </c>
      <c r="K231" t="str">
        <f>TEXT(Tabla1[[#This Row],[Fecha]],"MMMM")</f>
        <v>June</v>
      </c>
      <c r="L231" t="str">
        <f>TEXT(Tabla1[[#This Row],[Fecha]],"DD")</f>
        <v>17</v>
      </c>
      <c r="M231" t="str">
        <f>TEXT(Tabla1[[#This Row],[Fecha]],"yyyy")</f>
        <v>2023</v>
      </c>
      <c r="N231">
        <f>MONTH(Tabla1[[#This Row],[Fecha]])</f>
        <v>6</v>
      </c>
      <c r="O231" s="2" t="str">
        <f t="shared" si="7"/>
        <v>T2-23</v>
      </c>
    </row>
    <row r="232" spans="1:15" x14ac:dyDescent="0.25">
      <c r="A232" s="8">
        <v>231</v>
      </c>
      <c r="B232" t="s">
        <v>251</v>
      </c>
      <c r="C232" t="s">
        <v>30</v>
      </c>
      <c r="D232" t="s">
        <v>17</v>
      </c>
      <c r="E232" t="s">
        <v>50</v>
      </c>
      <c r="F232" t="s">
        <v>35</v>
      </c>
      <c r="G232" t="s">
        <v>14</v>
      </c>
      <c r="H232">
        <v>1</v>
      </c>
      <c r="I232" s="2">
        <v>751</v>
      </c>
      <c r="J232">
        <f t="shared" si="6"/>
        <v>751</v>
      </c>
      <c r="K232" t="str">
        <f>TEXT(Tabla1[[#This Row],[Fecha]],"MMMM")</f>
        <v>February</v>
      </c>
      <c r="L232" t="str">
        <f>TEXT(Tabla1[[#This Row],[Fecha]],"DD")</f>
        <v>18</v>
      </c>
      <c r="M232" t="str">
        <f>TEXT(Tabla1[[#This Row],[Fecha]],"yyyy")</f>
        <v>2025</v>
      </c>
      <c r="N232">
        <f>MONTH(Tabla1[[#This Row],[Fecha]])</f>
        <v>2</v>
      </c>
      <c r="O232" s="2" t="str">
        <f t="shared" si="7"/>
        <v>T1-25</v>
      </c>
    </row>
    <row r="233" spans="1:15" x14ac:dyDescent="0.25">
      <c r="A233" s="8">
        <v>232</v>
      </c>
      <c r="B233" t="s">
        <v>252</v>
      </c>
      <c r="C233" t="s">
        <v>20</v>
      </c>
      <c r="D233" t="s">
        <v>21</v>
      </c>
      <c r="E233" t="s">
        <v>12</v>
      </c>
      <c r="F233" t="s">
        <v>18</v>
      </c>
      <c r="G233" t="s">
        <v>24</v>
      </c>
      <c r="H233">
        <v>23</v>
      </c>
      <c r="I233" s="2">
        <v>4427</v>
      </c>
      <c r="J233">
        <f t="shared" si="6"/>
        <v>101821</v>
      </c>
      <c r="K233" t="str">
        <f>TEXT(Tabla1[[#This Row],[Fecha]],"MMMM")</f>
        <v>February</v>
      </c>
      <c r="L233" t="str">
        <f>TEXT(Tabla1[[#This Row],[Fecha]],"DD")</f>
        <v>07</v>
      </c>
      <c r="M233" t="str">
        <f>TEXT(Tabla1[[#This Row],[Fecha]],"yyyy")</f>
        <v>2025</v>
      </c>
      <c r="N233">
        <f>MONTH(Tabla1[[#This Row],[Fecha]])</f>
        <v>2</v>
      </c>
      <c r="O233" s="2" t="str">
        <f t="shared" si="7"/>
        <v>T1-25</v>
      </c>
    </row>
    <row r="234" spans="1:15" x14ac:dyDescent="0.25">
      <c r="A234" s="8">
        <v>233</v>
      </c>
      <c r="B234" t="s">
        <v>253</v>
      </c>
      <c r="C234" t="s">
        <v>20</v>
      </c>
      <c r="D234" t="s">
        <v>21</v>
      </c>
      <c r="E234" t="s">
        <v>58</v>
      </c>
      <c r="F234" t="s">
        <v>18</v>
      </c>
      <c r="G234" t="s">
        <v>14</v>
      </c>
      <c r="H234">
        <v>19</v>
      </c>
      <c r="I234" s="2">
        <v>1788</v>
      </c>
      <c r="J234">
        <f t="shared" si="6"/>
        <v>33972</v>
      </c>
      <c r="K234" t="str">
        <f>TEXT(Tabla1[[#This Row],[Fecha]],"MMMM")</f>
        <v>March</v>
      </c>
      <c r="L234" t="str">
        <f>TEXT(Tabla1[[#This Row],[Fecha]],"DD")</f>
        <v>29</v>
      </c>
      <c r="M234" t="str">
        <f>TEXT(Tabla1[[#This Row],[Fecha]],"yyyy")</f>
        <v>2023</v>
      </c>
      <c r="N234">
        <f>MONTH(Tabla1[[#This Row],[Fecha]])</f>
        <v>3</v>
      </c>
      <c r="O234" s="2" t="str">
        <f t="shared" si="7"/>
        <v>T1-23</v>
      </c>
    </row>
    <row r="235" spans="1:15" x14ac:dyDescent="0.25">
      <c r="A235" s="8">
        <v>234</v>
      </c>
      <c r="B235" t="s">
        <v>254</v>
      </c>
      <c r="C235" t="s">
        <v>69</v>
      </c>
      <c r="D235" t="s">
        <v>17</v>
      </c>
      <c r="E235" t="s">
        <v>58</v>
      </c>
      <c r="F235" t="s">
        <v>35</v>
      </c>
      <c r="G235" t="s">
        <v>14</v>
      </c>
      <c r="H235">
        <v>23</v>
      </c>
      <c r="I235" s="2">
        <v>2719</v>
      </c>
      <c r="J235">
        <f t="shared" si="6"/>
        <v>62537</v>
      </c>
      <c r="K235" t="str">
        <f>TEXT(Tabla1[[#This Row],[Fecha]],"MMMM")</f>
        <v>October</v>
      </c>
      <c r="L235" t="str">
        <f>TEXT(Tabla1[[#This Row],[Fecha]],"DD")</f>
        <v>21</v>
      </c>
      <c r="M235" t="str">
        <f>TEXT(Tabla1[[#This Row],[Fecha]],"yyyy")</f>
        <v>2025</v>
      </c>
      <c r="N235">
        <f>MONTH(Tabla1[[#This Row],[Fecha]])</f>
        <v>10</v>
      </c>
      <c r="O235" s="2" t="str">
        <f t="shared" si="7"/>
        <v>T4-25</v>
      </c>
    </row>
    <row r="236" spans="1:15" x14ac:dyDescent="0.25">
      <c r="A236" s="8">
        <v>235</v>
      </c>
      <c r="B236" t="s">
        <v>255</v>
      </c>
      <c r="C236" t="s">
        <v>46</v>
      </c>
      <c r="D236" t="s">
        <v>38</v>
      </c>
      <c r="E236" t="s">
        <v>52</v>
      </c>
      <c r="F236" t="s">
        <v>28</v>
      </c>
      <c r="G236" t="s">
        <v>14</v>
      </c>
      <c r="H236">
        <v>25</v>
      </c>
      <c r="I236" s="2">
        <v>2619</v>
      </c>
      <c r="J236">
        <f t="shared" si="6"/>
        <v>65475</v>
      </c>
      <c r="K236" t="str">
        <f>TEXT(Tabla1[[#This Row],[Fecha]],"MMMM")</f>
        <v>August</v>
      </c>
      <c r="L236" t="str">
        <f>TEXT(Tabla1[[#This Row],[Fecha]],"DD")</f>
        <v>25</v>
      </c>
      <c r="M236" t="str">
        <f>TEXT(Tabla1[[#This Row],[Fecha]],"yyyy")</f>
        <v>2024</v>
      </c>
      <c r="N236">
        <f>MONTH(Tabla1[[#This Row],[Fecha]])</f>
        <v>8</v>
      </c>
      <c r="O236" s="2" t="str">
        <f t="shared" si="7"/>
        <v>T3-24</v>
      </c>
    </row>
    <row r="237" spans="1:15" x14ac:dyDescent="0.25">
      <c r="A237" s="8">
        <v>236</v>
      </c>
      <c r="B237" t="s">
        <v>256</v>
      </c>
      <c r="C237" t="s">
        <v>30</v>
      </c>
      <c r="D237" t="s">
        <v>17</v>
      </c>
      <c r="E237" t="s">
        <v>61</v>
      </c>
      <c r="F237" t="s">
        <v>42</v>
      </c>
      <c r="G237" t="s">
        <v>24</v>
      </c>
      <c r="H237">
        <v>23</v>
      </c>
      <c r="I237" s="2">
        <v>1680</v>
      </c>
      <c r="J237">
        <f t="shared" si="6"/>
        <v>38640</v>
      </c>
      <c r="K237" t="str">
        <f>TEXT(Tabla1[[#This Row],[Fecha]],"MMMM")</f>
        <v>July</v>
      </c>
      <c r="L237" t="str">
        <f>TEXT(Tabla1[[#This Row],[Fecha]],"DD")</f>
        <v>13</v>
      </c>
      <c r="M237" t="str">
        <f>TEXT(Tabla1[[#This Row],[Fecha]],"yyyy")</f>
        <v>2025</v>
      </c>
      <c r="N237">
        <f>MONTH(Tabla1[[#This Row],[Fecha]])</f>
        <v>7</v>
      </c>
      <c r="O237" s="2" t="str">
        <f t="shared" si="7"/>
        <v>T3-25</v>
      </c>
    </row>
    <row r="238" spans="1:15" x14ac:dyDescent="0.25">
      <c r="A238" s="8">
        <v>237</v>
      </c>
      <c r="B238" t="s">
        <v>257</v>
      </c>
      <c r="C238" t="s">
        <v>10</v>
      </c>
      <c r="D238" t="s">
        <v>11</v>
      </c>
      <c r="E238" t="s">
        <v>22</v>
      </c>
      <c r="F238" t="s">
        <v>18</v>
      </c>
      <c r="G238" t="s">
        <v>24</v>
      </c>
      <c r="H238">
        <v>1</v>
      </c>
      <c r="I238" s="2">
        <v>1719</v>
      </c>
      <c r="J238">
        <f t="shared" si="6"/>
        <v>1719</v>
      </c>
      <c r="K238" t="str">
        <f>TEXT(Tabla1[[#This Row],[Fecha]],"MMMM")</f>
        <v>January</v>
      </c>
      <c r="L238" t="str">
        <f>TEXT(Tabla1[[#This Row],[Fecha]],"DD")</f>
        <v>10</v>
      </c>
      <c r="M238" t="str">
        <f>TEXT(Tabla1[[#This Row],[Fecha]],"yyyy")</f>
        <v>2023</v>
      </c>
      <c r="N238">
        <f>MONTH(Tabla1[[#This Row],[Fecha]])</f>
        <v>1</v>
      </c>
      <c r="O238" s="2" t="str">
        <f t="shared" si="7"/>
        <v>T1-23</v>
      </c>
    </row>
    <row r="239" spans="1:15" x14ac:dyDescent="0.25">
      <c r="A239" s="8">
        <v>238</v>
      </c>
      <c r="B239" t="s">
        <v>257</v>
      </c>
      <c r="C239" t="s">
        <v>49</v>
      </c>
      <c r="D239" t="s">
        <v>21</v>
      </c>
      <c r="E239" t="s">
        <v>50</v>
      </c>
      <c r="F239" t="s">
        <v>28</v>
      </c>
      <c r="G239" t="s">
        <v>24</v>
      </c>
      <c r="H239">
        <v>18</v>
      </c>
      <c r="I239" s="2">
        <v>2891</v>
      </c>
      <c r="J239">
        <f t="shared" si="6"/>
        <v>52038</v>
      </c>
      <c r="K239" t="str">
        <f>TEXT(Tabla1[[#This Row],[Fecha]],"MMMM")</f>
        <v>January</v>
      </c>
      <c r="L239" t="str">
        <f>TEXT(Tabla1[[#This Row],[Fecha]],"DD")</f>
        <v>10</v>
      </c>
      <c r="M239" t="str">
        <f>TEXT(Tabla1[[#This Row],[Fecha]],"yyyy")</f>
        <v>2023</v>
      </c>
      <c r="N239">
        <f>MONTH(Tabla1[[#This Row],[Fecha]])</f>
        <v>1</v>
      </c>
      <c r="O239" s="2" t="str">
        <f t="shared" si="7"/>
        <v>T1-23</v>
      </c>
    </row>
    <row r="240" spans="1:15" x14ac:dyDescent="0.25">
      <c r="A240" s="8">
        <v>239</v>
      </c>
      <c r="B240" t="s">
        <v>258</v>
      </c>
      <c r="C240" t="s">
        <v>46</v>
      </c>
      <c r="D240" t="s">
        <v>38</v>
      </c>
      <c r="E240" t="s">
        <v>22</v>
      </c>
      <c r="F240" t="s">
        <v>28</v>
      </c>
      <c r="G240" t="s">
        <v>14</v>
      </c>
      <c r="H240">
        <v>19</v>
      </c>
      <c r="I240" s="2">
        <v>2619</v>
      </c>
      <c r="J240">
        <f t="shared" si="6"/>
        <v>49761</v>
      </c>
      <c r="K240" t="str">
        <f>TEXT(Tabla1[[#This Row],[Fecha]],"MMMM")</f>
        <v>December</v>
      </c>
      <c r="L240" t="str">
        <f>TEXT(Tabla1[[#This Row],[Fecha]],"DD")</f>
        <v>13</v>
      </c>
      <c r="M240" t="str">
        <f>TEXT(Tabla1[[#This Row],[Fecha]],"yyyy")</f>
        <v>2023</v>
      </c>
      <c r="N240">
        <f>MONTH(Tabla1[[#This Row],[Fecha]])</f>
        <v>12</v>
      </c>
      <c r="O240" s="2" t="str">
        <f t="shared" si="7"/>
        <v>T4-23</v>
      </c>
    </row>
    <row r="241" spans="1:15" x14ac:dyDescent="0.25">
      <c r="A241" s="8">
        <v>240</v>
      </c>
      <c r="B241" t="s">
        <v>259</v>
      </c>
      <c r="C241" t="s">
        <v>69</v>
      </c>
      <c r="D241" t="s">
        <v>17</v>
      </c>
      <c r="E241" t="s">
        <v>22</v>
      </c>
      <c r="F241" t="s">
        <v>28</v>
      </c>
      <c r="G241" t="s">
        <v>14</v>
      </c>
      <c r="H241">
        <v>5</v>
      </c>
      <c r="I241" s="2">
        <v>619</v>
      </c>
      <c r="J241">
        <f t="shared" si="6"/>
        <v>3095</v>
      </c>
      <c r="K241" t="str">
        <f>TEXT(Tabla1[[#This Row],[Fecha]],"MMMM")</f>
        <v>May</v>
      </c>
      <c r="L241" t="str">
        <f>TEXT(Tabla1[[#This Row],[Fecha]],"DD")</f>
        <v>23</v>
      </c>
      <c r="M241" t="str">
        <f>TEXT(Tabla1[[#This Row],[Fecha]],"yyyy")</f>
        <v>2023</v>
      </c>
      <c r="N241">
        <f>MONTH(Tabla1[[#This Row],[Fecha]])</f>
        <v>5</v>
      </c>
      <c r="O241" s="2" t="str">
        <f t="shared" si="7"/>
        <v>T2-23</v>
      </c>
    </row>
    <row r="242" spans="1:15" x14ac:dyDescent="0.25">
      <c r="A242" s="8">
        <v>241</v>
      </c>
      <c r="B242" t="s">
        <v>260</v>
      </c>
      <c r="C242" t="s">
        <v>20</v>
      </c>
      <c r="D242" t="s">
        <v>21</v>
      </c>
      <c r="E242" t="s">
        <v>22</v>
      </c>
      <c r="F242" t="s">
        <v>33</v>
      </c>
      <c r="G242" t="s">
        <v>14</v>
      </c>
      <c r="H242">
        <v>11</v>
      </c>
      <c r="I242" s="2">
        <v>1931</v>
      </c>
      <c r="J242">
        <f t="shared" si="6"/>
        <v>21241</v>
      </c>
      <c r="K242" t="str">
        <f>TEXT(Tabla1[[#This Row],[Fecha]],"MMMM")</f>
        <v>June</v>
      </c>
      <c r="L242" t="str">
        <f>TEXT(Tabla1[[#This Row],[Fecha]],"DD")</f>
        <v>02</v>
      </c>
      <c r="M242" t="str">
        <f>TEXT(Tabla1[[#This Row],[Fecha]],"yyyy")</f>
        <v>2025</v>
      </c>
      <c r="N242">
        <f>MONTH(Tabla1[[#This Row],[Fecha]])</f>
        <v>6</v>
      </c>
      <c r="O242" s="2" t="str">
        <f t="shared" si="7"/>
        <v>T2-25</v>
      </c>
    </row>
    <row r="243" spans="1:15" x14ac:dyDescent="0.25">
      <c r="A243" s="8">
        <v>242</v>
      </c>
      <c r="B243" t="s">
        <v>261</v>
      </c>
      <c r="C243" t="s">
        <v>20</v>
      </c>
      <c r="D243" t="s">
        <v>21</v>
      </c>
      <c r="E243" t="s">
        <v>52</v>
      </c>
      <c r="F243" t="s">
        <v>18</v>
      </c>
      <c r="G243" t="s">
        <v>14</v>
      </c>
      <c r="H243">
        <v>24</v>
      </c>
      <c r="I243" s="2">
        <v>1964</v>
      </c>
      <c r="J243">
        <f t="shared" si="6"/>
        <v>47136</v>
      </c>
      <c r="K243" t="str">
        <f>TEXT(Tabla1[[#This Row],[Fecha]],"MMMM")</f>
        <v>March</v>
      </c>
      <c r="L243" t="str">
        <f>TEXT(Tabla1[[#This Row],[Fecha]],"DD")</f>
        <v>12</v>
      </c>
      <c r="M243" t="str">
        <f>TEXT(Tabla1[[#This Row],[Fecha]],"yyyy")</f>
        <v>2025</v>
      </c>
      <c r="N243">
        <f>MONTH(Tabla1[[#This Row],[Fecha]])</f>
        <v>3</v>
      </c>
      <c r="O243" s="2" t="str">
        <f t="shared" si="7"/>
        <v>T1-25</v>
      </c>
    </row>
    <row r="244" spans="1:15" x14ac:dyDescent="0.25">
      <c r="A244" s="8">
        <v>243</v>
      </c>
      <c r="B244" t="s">
        <v>152</v>
      </c>
      <c r="C244" t="s">
        <v>20</v>
      </c>
      <c r="D244" t="s">
        <v>21</v>
      </c>
      <c r="E244" t="s">
        <v>50</v>
      </c>
      <c r="F244" t="s">
        <v>42</v>
      </c>
      <c r="G244" t="s">
        <v>14</v>
      </c>
      <c r="H244">
        <v>11</v>
      </c>
      <c r="I244" s="2">
        <v>3257</v>
      </c>
      <c r="J244">
        <f t="shared" si="6"/>
        <v>35827</v>
      </c>
      <c r="K244" t="str">
        <f>TEXT(Tabla1[[#This Row],[Fecha]],"MMMM")</f>
        <v>November</v>
      </c>
      <c r="L244" t="str">
        <f>TEXT(Tabla1[[#This Row],[Fecha]],"DD")</f>
        <v>04</v>
      </c>
      <c r="M244" t="str">
        <f>TEXT(Tabla1[[#This Row],[Fecha]],"yyyy")</f>
        <v>2024</v>
      </c>
      <c r="N244">
        <f>MONTH(Tabla1[[#This Row],[Fecha]])</f>
        <v>11</v>
      </c>
      <c r="O244" s="2" t="str">
        <f t="shared" si="7"/>
        <v>T4-24</v>
      </c>
    </row>
    <row r="245" spans="1:15" x14ac:dyDescent="0.25">
      <c r="A245" s="8">
        <v>244</v>
      </c>
      <c r="B245" t="s">
        <v>262</v>
      </c>
      <c r="C245" t="s">
        <v>10</v>
      </c>
      <c r="D245" t="s">
        <v>11</v>
      </c>
      <c r="E245" t="s">
        <v>61</v>
      </c>
      <c r="F245" t="s">
        <v>33</v>
      </c>
      <c r="G245" t="s">
        <v>24</v>
      </c>
      <c r="H245">
        <v>20</v>
      </c>
      <c r="I245" s="2">
        <v>1267</v>
      </c>
      <c r="J245">
        <f t="shared" si="6"/>
        <v>25340</v>
      </c>
      <c r="K245" t="str">
        <f>TEXT(Tabla1[[#This Row],[Fecha]],"MMMM")</f>
        <v>April</v>
      </c>
      <c r="L245" t="str">
        <f>TEXT(Tabla1[[#This Row],[Fecha]],"DD")</f>
        <v>22</v>
      </c>
      <c r="M245" t="str">
        <f>TEXT(Tabla1[[#This Row],[Fecha]],"yyyy")</f>
        <v>2025</v>
      </c>
      <c r="N245">
        <f>MONTH(Tabla1[[#This Row],[Fecha]])</f>
        <v>4</v>
      </c>
      <c r="O245" s="2" t="str">
        <f t="shared" si="7"/>
        <v>T2-25</v>
      </c>
    </row>
    <row r="246" spans="1:15" x14ac:dyDescent="0.25">
      <c r="A246" s="8">
        <v>245</v>
      </c>
      <c r="B246" t="s">
        <v>263</v>
      </c>
      <c r="C246" t="s">
        <v>10</v>
      </c>
      <c r="D246" t="s">
        <v>11</v>
      </c>
      <c r="E246" t="s">
        <v>61</v>
      </c>
      <c r="F246" t="s">
        <v>33</v>
      </c>
      <c r="G246" t="s">
        <v>14</v>
      </c>
      <c r="H246">
        <v>6</v>
      </c>
      <c r="I246" s="2">
        <v>1313</v>
      </c>
      <c r="J246">
        <f t="shared" si="6"/>
        <v>7878</v>
      </c>
      <c r="K246" t="str">
        <f>TEXT(Tabla1[[#This Row],[Fecha]],"MMMM")</f>
        <v>July</v>
      </c>
      <c r="L246" t="str">
        <f>TEXT(Tabla1[[#This Row],[Fecha]],"DD")</f>
        <v>27</v>
      </c>
      <c r="M246" t="str">
        <f>TEXT(Tabla1[[#This Row],[Fecha]],"yyyy")</f>
        <v>2025</v>
      </c>
      <c r="N246">
        <f>MONTH(Tabla1[[#This Row],[Fecha]])</f>
        <v>7</v>
      </c>
      <c r="O246" s="2" t="str">
        <f t="shared" si="7"/>
        <v>T3-25</v>
      </c>
    </row>
    <row r="247" spans="1:15" x14ac:dyDescent="0.25">
      <c r="A247" s="8">
        <v>246</v>
      </c>
      <c r="B247" t="s">
        <v>264</v>
      </c>
      <c r="C247" t="s">
        <v>37</v>
      </c>
      <c r="D247" t="s">
        <v>38</v>
      </c>
      <c r="E247" t="s">
        <v>50</v>
      </c>
      <c r="F247" t="s">
        <v>13</v>
      </c>
      <c r="G247" t="s">
        <v>14</v>
      </c>
      <c r="H247">
        <v>12</v>
      </c>
      <c r="I247" s="2">
        <v>2871</v>
      </c>
      <c r="J247">
        <f t="shared" si="6"/>
        <v>34452</v>
      </c>
      <c r="K247" t="str">
        <f>TEXT(Tabla1[[#This Row],[Fecha]],"MMMM")</f>
        <v>February</v>
      </c>
      <c r="L247" t="str">
        <f>TEXT(Tabla1[[#This Row],[Fecha]],"DD")</f>
        <v>11</v>
      </c>
      <c r="M247" t="str">
        <f>TEXT(Tabla1[[#This Row],[Fecha]],"yyyy")</f>
        <v>2023</v>
      </c>
      <c r="N247">
        <f>MONTH(Tabla1[[#This Row],[Fecha]])</f>
        <v>2</v>
      </c>
      <c r="O247" s="2" t="str">
        <f t="shared" si="7"/>
        <v>T1-23</v>
      </c>
    </row>
    <row r="248" spans="1:15" x14ac:dyDescent="0.25">
      <c r="A248" s="8">
        <v>247</v>
      </c>
      <c r="B248" t="s">
        <v>92</v>
      </c>
      <c r="C248" t="s">
        <v>66</v>
      </c>
      <c r="D248" t="s">
        <v>17</v>
      </c>
      <c r="E248" t="s">
        <v>12</v>
      </c>
      <c r="F248" t="s">
        <v>13</v>
      </c>
      <c r="G248" t="s">
        <v>14</v>
      </c>
      <c r="H248">
        <v>7</v>
      </c>
      <c r="I248" s="2">
        <v>4052</v>
      </c>
      <c r="J248">
        <f t="shared" si="6"/>
        <v>28364</v>
      </c>
      <c r="K248" t="str">
        <f>TEXT(Tabla1[[#This Row],[Fecha]],"MMMM")</f>
        <v>January</v>
      </c>
      <c r="L248" t="str">
        <f>TEXT(Tabla1[[#This Row],[Fecha]],"DD")</f>
        <v>09</v>
      </c>
      <c r="M248" t="str">
        <f>TEXT(Tabla1[[#This Row],[Fecha]],"yyyy")</f>
        <v>2023</v>
      </c>
      <c r="N248">
        <f>MONTH(Tabla1[[#This Row],[Fecha]])</f>
        <v>1</v>
      </c>
      <c r="O248" s="2" t="str">
        <f t="shared" si="7"/>
        <v>T1-23</v>
      </c>
    </row>
    <row r="249" spans="1:15" x14ac:dyDescent="0.25">
      <c r="A249" s="8">
        <v>248</v>
      </c>
      <c r="B249" t="s">
        <v>59</v>
      </c>
      <c r="C249" t="s">
        <v>30</v>
      </c>
      <c r="D249" t="s">
        <v>17</v>
      </c>
      <c r="E249" t="s">
        <v>72</v>
      </c>
      <c r="F249" t="s">
        <v>28</v>
      </c>
      <c r="G249" t="s">
        <v>14</v>
      </c>
      <c r="H249">
        <v>1</v>
      </c>
      <c r="I249" s="2">
        <v>2912</v>
      </c>
      <c r="J249">
        <f t="shared" si="6"/>
        <v>2912</v>
      </c>
      <c r="K249" t="str">
        <f>TEXT(Tabla1[[#This Row],[Fecha]],"MMMM")</f>
        <v>August</v>
      </c>
      <c r="L249" t="str">
        <f>TEXT(Tabla1[[#This Row],[Fecha]],"DD")</f>
        <v>10</v>
      </c>
      <c r="M249" t="str">
        <f>TEXT(Tabla1[[#This Row],[Fecha]],"yyyy")</f>
        <v>2025</v>
      </c>
      <c r="N249">
        <f>MONTH(Tabla1[[#This Row],[Fecha]])</f>
        <v>8</v>
      </c>
      <c r="O249" s="2" t="str">
        <f t="shared" si="7"/>
        <v>T3-25</v>
      </c>
    </row>
    <row r="250" spans="1:15" x14ac:dyDescent="0.25">
      <c r="A250" s="8">
        <v>249</v>
      </c>
      <c r="B250" t="s">
        <v>265</v>
      </c>
      <c r="C250" t="s">
        <v>30</v>
      </c>
      <c r="D250" t="s">
        <v>17</v>
      </c>
      <c r="E250" t="s">
        <v>61</v>
      </c>
      <c r="F250" t="s">
        <v>13</v>
      </c>
      <c r="G250" t="s">
        <v>14</v>
      </c>
      <c r="H250">
        <v>14</v>
      </c>
      <c r="I250" s="2">
        <v>133</v>
      </c>
      <c r="J250">
        <f t="shared" si="6"/>
        <v>1862</v>
      </c>
      <c r="K250" t="str">
        <f>TEXT(Tabla1[[#This Row],[Fecha]],"MMMM")</f>
        <v>August</v>
      </c>
      <c r="L250" t="str">
        <f>TEXT(Tabla1[[#This Row],[Fecha]],"DD")</f>
        <v>15</v>
      </c>
      <c r="M250" t="str">
        <f>TEXT(Tabla1[[#This Row],[Fecha]],"yyyy")</f>
        <v>2024</v>
      </c>
      <c r="N250">
        <f>MONTH(Tabla1[[#This Row],[Fecha]])</f>
        <v>8</v>
      </c>
      <c r="O250" s="2" t="str">
        <f t="shared" si="7"/>
        <v>T3-24</v>
      </c>
    </row>
    <row r="251" spans="1:15" x14ac:dyDescent="0.25">
      <c r="A251" s="8">
        <v>250</v>
      </c>
      <c r="B251" t="s">
        <v>266</v>
      </c>
      <c r="C251" t="s">
        <v>20</v>
      </c>
      <c r="D251" t="s">
        <v>21</v>
      </c>
      <c r="E251" t="s">
        <v>32</v>
      </c>
      <c r="F251" t="s">
        <v>42</v>
      </c>
      <c r="G251" t="s">
        <v>24</v>
      </c>
      <c r="H251">
        <v>10</v>
      </c>
      <c r="I251" s="2">
        <v>2621</v>
      </c>
      <c r="J251">
        <f t="shared" si="6"/>
        <v>26210</v>
      </c>
      <c r="K251" t="str">
        <f>TEXT(Tabla1[[#This Row],[Fecha]],"MMMM")</f>
        <v>May</v>
      </c>
      <c r="L251" t="str">
        <f>TEXT(Tabla1[[#This Row],[Fecha]],"DD")</f>
        <v>24</v>
      </c>
      <c r="M251" t="str">
        <f>TEXT(Tabla1[[#This Row],[Fecha]],"yyyy")</f>
        <v>2024</v>
      </c>
      <c r="N251">
        <f>MONTH(Tabla1[[#This Row],[Fecha]])</f>
        <v>5</v>
      </c>
      <c r="O251" s="2" t="str">
        <f t="shared" si="7"/>
        <v>T2-24</v>
      </c>
    </row>
    <row r="252" spans="1:15" x14ac:dyDescent="0.25">
      <c r="A252" s="8">
        <v>251</v>
      </c>
      <c r="B252" t="s">
        <v>267</v>
      </c>
      <c r="C252" t="s">
        <v>66</v>
      </c>
      <c r="D252" t="s">
        <v>17</v>
      </c>
      <c r="E252" t="s">
        <v>44</v>
      </c>
      <c r="F252" t="s">
        <v>28</v>
      </c>
      <c r="G252" t="s">
        <v>14</v>
      </c>
      <c r="H252">
        <v>15</v>
      </c>
      <c r="I252" s="2">
        <v>814</v>
      </c>
      <c r="J252">
        <f t="shared" si="6"/>
        <v>12210</v>
      </c>
      <c r="K252" t="str">
        <f>TEXT(Tabla1[[#This Row],[Fecha]],"MMMM")</f>
        <v>March</v>
      </c>
      <c r="L252" t="str">
        <f>TEXT(Tabla1[[#This Row],[Fecha]],"DD")</f>
        <v>27</v>
      </c>
      <c r="M252" t="str">
        <f>TEXT(Tabla1[[#This Row],[Fecha]],"yyyy")</f>
        <v>2025</v>
      </c>
      <c r="N252">
        <f>MONTH(Tabla1[[#This Row],[Fecha]])</f>
        <v>3</v>
      </c>
      <c r="O252" s="2" t="str">
        <f t="shared" si="7"/>
        <v>T1-25</v>
      </c>
    </row>
    <row r="253" spans="1:15" x14ac:dyDescent="0.25">
      <c r="A253" s="8">
        <v>252</v>
      </c>
      <c r="B253" t="s">
        <v>226</v>
      </c>
      <c r="C253" t="s">
        <v>66</v>
      </c>
      <c r="D253" t="s">
        <v>17</v>
      </c>
      <c r="E253" t="s">
        <v>61</v>
      </c>
      <c r="F253" t="s">
        <v>28</v>
      </c>
      <c r="G253" t="s">
        <v>14</v>
      </c>
      <c r="H253">
        <v>17</v>
      </c>
      <c r="I253" s="2">
        <v>3091</v>
      </c>
      <c r="J253">
        <f t="shared" si="6"/>
        <v>52547</v>
      </c>
      <c r="K253" t="str">
        <f>TEXT(Tabla1[[#This Row],[Fecha]],"MMMM")</f>
        <v>August</v>
      </c>
      <c r="L253" t="str">
        <f>TEXT(Tabla1[[#This Row],[Fecha]],"DD")</f>
        <v>01</v>
      </c>
      <c r="M253" t="str">
        <f>TEXT(Tabla1[[#This Row],[Fecha]],"yyyy")</f>
        <v>2024</v>
      </c>
      <c r="N253">
        <f>MONTH(Tabla1[[#This Row],[Fecha]])</f>
        <v>8</v>
      </c>
      <c r="O253" s="2" t="str">
        <f t="shared" si="7"/>
        <v>T3-24</v>
      </c>
    </row>
    <row r="254" spans="1:15" x14ac:dyDescent="0.25">
      <c r="A254" s="8">
        <v>253</v>
      </c>
      <c r="B254" t="s">
        <v>268</v>
      </c>
      <c r="C254" t="s">
        <v>66</v>
      </c>
      <c r="D254" t="s">
        <v>17</v>
      </c>
      <c r="E254" t="s">
        <v>72</v>
      </c>
      <c r="F254" t="s">
        <v>42</v>
      </c>
      <c r="G254" t="s">
        <v>24</v>
      </c>
      <c r="H254">
        <v>20</v>
      </c>
      <c r="I254" s="2">
        <v>2084</v>
      </c>
      <c r="J254">
        <f t="shared" si="6"/>
        <v>41680</v>
      </c>
      <c r="K254" t="str">
        <f>TEXT(Tabla1[[#This Row],[Fecha]],"MMMM")</f>
        <v>October</v>
      </c>
      <c r="L254" t="str">
        <f>TEXT(Tabla1[[#This Row],[Fecha]],"DD")</f>
        <v>05</v>
      </c>
      <c r="M254" t="str">
        <f>TEXT(Tabla1[[#This Row],[Fecha]],"yyyy")</f>
        <v>2025</v>
      </c>
      <c r="N254">
        <f>MONTH(Tabla1[[#This Row],[Fecha]])</f>
        <v>10</v>
      </c>
      <c r="O254" s="2" t="str">
        <f t="shared" si="7"/>
        <v>T4-25</v>
      </c>
    </row>
    <row r="255" spans="1:15" x14ac:dyDescent="0.25">
      <c r="A255" s="8">
        <v>254</v>
      </c>
      <c r="B255" t="s">
        <v>269</v>
      </c>
      <c r="C255" t="s">
        <v>26</v>
      </c>
      <c r="D255" t="s">
        <v>27</v>
      </c>
      <c r="E255" t="s">
        <v>44</v>
      </c>
      <c r="F255" t="s">
        <v>18</v>
      </c>
      <c r="G255" t="s">
        <v>14</v>
      </c>
      <c r="H255">
        <v>7</v>
      </c>
      <c r="I255" s="2">
        <v>3335</v>
      </c>
      <c r="J255">
        <f t="shared" si="6"/>
        <v>23345</v>
      </c>
      <c r="K255" t="str">
        <f>TEXT(Tabla1[[#This Row],[Fecha]],"MMMM")</f>
        <v>April</v>
      </c>
      <c r="L255" t="str">
        <f>TEXT(Tabla1[[#This Row],[Fecha]],"DD")</f>
        <v>02</v>
      </c>
      <c r="M255" t="str">
        <f>TEXT(Tabla1[[#This Row],[Fecha]],"yyyy")</f>
        <v>2023</v>
      </c>
      <c r="N255">
        <f>MONTH(Tabla1[[#This Row],[Fecha]])</f>
        <v>4</v>
      </c>
      <c r="O255" s="2" t="str">
        <f t="shared" si="7"/>
        <v>T2-23</v>
      </c>
    </row>
    <row r="256" spans="1:15" x14ac:dyDescent="0.25">
      <c r="A256" s="8">
        <v>255</v>
      </c>
      <c r="B256" t="s">
        <v>270</v>
      </c>
      <c r="C256" t="s">
        <v>26</v>
      </c>
      <c r="D256" t="s">
        <v>27</v>
      </c>
      <c r="E256" t="s">
        <v>32</v>
      </c>
      <c r="F256" t="s">
        <v>18</v>
      </c>
      <c r="G256" t="s">
        <v>24</v>
      </c>
      <c r="H256">
        <v>16</v>
      </c>
      <c r="I256" s="2">
        <v>524</v>
      </c>
      <c r="J256">
        <f t="shared" si="6"/>
        <v>8384</v>
      </c>
      <c r="K256" t="str">
        <f>TEXT(Tabla1[[#This Row],[Fecha]],"MMMM")</f>
        <v>February</v>
      </c>
      <c r="L256" t="str">
        <f>TEXT(Tabla1[[#This Row],[Fecha]],"DD")</f>
        <v>21</v>
      </c>
      <c r="M256" t="str">
        <f>TEXT(Tabla1[[#This Row],[Fecha]],"yyyy")</f>
        <v>2024</v>
      </c>
      <c r="N256">
        <f>MONTH(Tabla1[[#This Row],[Fecha]])</f>
        <v>2</v>
      </c>
      <c r="O256" s="2" t="str">
        <f t="shared" si="7"/>
        <v>T1-24</v>
      </c>
    </row>
    <row r="257" spans="1:15" x14ac:dyDescent="0.25">
      <c r="A257" s="8">
        <v>256</v>
      </c>
      <c r="B257" t="s">
        <v>271</v>
      </c>
      <c r="C257" t="s">
        <v>69</v>
      </c>
      <c r="D257" t="s">
        <v>17</v>
      </c>
      <c r="E257" t="s">
        <v>52</v>
      </c>
      <c r="F257" t="s">
        <v>13</v>
      </c>
      <c r="G257" t="s">
        <v>24</v>
      </c>
      <c r="H257">
        <v>18</v>
      </c>
      <c r="I257" s="2">
        <v>3245</v>
      </c>
      <c r="J257">
        <f t="shared" si="6"/>
        <v>58410</v>
      </c>
      <c r="K257" t="str">
        <f>TEXT(Tabla1[[#This Row],[Fecha]],"MMMM")</f>
        <v>December</v>
      </c>
      <c r="L257" t="str">
        <f>TEXT(Tabla1[[#This Row],[Fecha]],"DD")</f>
        <v>31</v>
      </c>
      <c r="M257" t="str">
        <f>TEXT(Tabla1[[#This Row],[Fecha]],"yyyy")</f>
        <v>2024</v>
      </c>
      <c r="N257">
        <f>MONTH(Tabla1[[#This Row],[Fecha]])</f>
        <v>12</v>
      </c>
      <c r="O257" s="2" t="str">
        <f t="shared" si="7"/>
        <v>T4-24</v>
      </c>
    </row>
    <row r="258" spans="1:15" x14ac:dyDescent="0.25">
      <c r="A258" s="8">
        <v>257</v>
      </c>
      <c r="B258" t="s">
        <v>272</v>
      </c>
      <c r="C258" t="s">
        <v>30</v>
      </c>
      <c r="D258" t="s">
        <v>17</v>
      </c>
      <c r="E258" t="s">
        <v>12</v>
      </c>
      <c r="F258" t="s">
        <v>13</v>
      </c>
      <c r="G258" t="s">
        <v>24</v>
      </c>
      <c r="H258">
        <v>1</v>
      </c>
      <c r="I258" s="2">
        <v>4889</v>
      </c>
      <c r="J258">
        <f t="shared" ref="J258:J321" si="8">I258*H258</f>
        <v>4889</v>
      </c>
      <c r="K258" t="str">
        <f>TEXT(Tabla1[[#This Row],[Fecha]],"MMMM")</f>
        <v>October</v>
      </c>
      <c r="L258" t="str">
        <f>TEXT(Tabla1[[#This Row],[Fecha]],"DD")</f>
        <v>01</v>
      </c>
      <c r="M258" t="str">
        <f>TEXT(Tabla1[[#This Row],[Fecha]],"yyyy")</f>
        <v>2025</v>
      </c>
      <c r="N258">
        <f>MONTH(Tabla1[[#This Row],[Fecha]])</f>
        <v>10</v>
      </c>
      <c r="O258" s="2" t="str">
        <f t="shared" ref="O258:O321" si="9">"T"&amp;ROUNDUP(MONTH(B258)/3,0)&amp;"-"&amp;RIGHT(YEAR(B258),2)</f>
        <v>T4-25</v>
      </c>
    </row>
    <row r="259" spans="1:15" x14ac:dyDescent="0.25">
      <c r="A259" s="8">
        <v>258</v>
      </c>
      <c r="B259" t="s">
        <v>273</v>
      </c>
      <c r="C259" t="s">
        <v>20</v>
      </c>
      <c r="D259" t="s">
        <v>21</v>
      </c>
      <c r="E259" t="s">
        <v>72</v>
      </c>
      <c r="F259" t="s">
        <v>28</v>
      </c>
      <c r="G259" t="s">
        <v>14</v>
      </c>
      <c r="H259">
        <v>2</v>
      </c>
      <c r="I259" s="2">
        <v>3653</v>
      </c>
      <c r="J259">
        <f t="shared" si="8"/>
        <v>7306</v>
      </c>
      <c r="K259" t="str">
        <f>TEXT(Tabla1[[#This Row],[Fecha]],"MMMM")</f>
        <v>October</v>
      </c>
      <c r="L259" t="str">
        <f>TEXT(Tabla1[[#This Row],[Fecha]],"DD")</f>
        <v>11</v>
      </c>
      <c r="M259" t="str">
        <f>TEXT(Tabla1[[#This Row],[Fecha]],"yyyy")</f>
        <v>2025</v>
      </c>
      <c r="N259">
        <f>MONTH(Tabla1[[#This Row],[Fecha]])</f>
        <v>10</v>
      </c>
      <c r="O259" s="2" t="str">
        <f t="shared" si="9"/>
        <v>T4-25</v>
      </c>
    </row>
    <row r="260" spans="1:15" x14ac:dyDescent="0.25">
      <c r="A260" s="8">
        <v>259</v>
      </c>
      <c r="B260" t="s">
        <v>274</v>
      </c>
      <c r="C260" t="s">
        <v>37</v>
      </c>
      <c r="D260" t="s">
        <v>38</v>
      </c>
      <c r="E260" t="s">
        <v>58</v>
      </c>
      <c r="F260" t="s">
        <v>42</v>
      </c>
      <c r="G260" t="s">
        <v>14</v>
      </c>
      <c r="H260">
        <v>5</v>
      </c>
      <c r="I260" s="2">
        <v>2816</v>
      </c>
      <c r="J260">
        <f t="shared" si="8"/>
        <v>14080</v>
      </c>
      <c r="K260" t="str">
        <f>TEXT(Tabla1[[#This Row],[Fecha]],"MMMM")</f>
        <v>September</v>
      </c>
      <c r="L260" t="str">
        <f>TEXT(Tabla1[[#This Row],[Fecha]],"DD")</f>
        <v>08</v>
      </c>
      <c r="M260" t="str">
        <f>TEXT(Tabla1[[#This Row],[Fecha]],"yyyy")</f>
        <v>2024</v>
      </c>
      <c r="N260">
        <f>MONTH(Tabla1[[#This Row],[Fecha]])</f>
        <v>9</v>
      </c>
      <c r="O260" s="2" t="str">
        <f t="shared" si="9"/>
        <v>T3-24</v>
      </c>
    </row>
    <row r="261" spans="1:15" x14ac:dyDescent="0.25">
      <c r="A261" s="8">
        <v>260</v>
      </c>
      <c r="B261" t="s">
        <v>128</v>
      </c>
      <c r="C261" t="s">
        <v>30</v>
      </c>
      <c r="D261" t="s">
        <v>17</v>
      </c>
      <c r="E261" t="s">
        <v>41</v>
      </c>
      <c r="F261" t="s">
        <v>13</v>
      </c>
      <c r="G261" t="s">
        <v>24</v>
      </c>
      <c r="H261">
        <v>3</v>
      </c>
      <c r="I261" s="2">
        <v>1667</v>
      </c>
      <c r="J261">
        <f t="shared" si="8"/>
        <v>5001</v>
      </c>
      <c r="K261" t="str">
        <f>TEXT(Tabla1[[#This Row],[Fecha]],"MMMM")</f>
        <v>September</v>
      </c>
      <c r="L261" t="str">
        <f>TEXT(Tabla1[[#This Row],[Fecha]],"DD")</f>
        <v>24</v>
      </c>
      <c r="M261" t="str">
        <f>TEXT(Tabla1[[#This Row],[Fecha]],"yyyy")</f>
        <v>2023</v>
      </c>
      <c r="N261">
        <f>MONTH(Tabla1[[#This Row],[Fecha]])</f>
        <v>9</v>
      </c>
      <c r="O261" s="2" t="str">
        <f t="shared" si="9"/>
        <v>T3-23</v>
      </c>
    </row>
    <row r="262" spans="1:15" x14ac:dyDescent="0.25">
      <c r="A262" s="8">
        <v>261</v>
      </c>
      <c r="B262" t="s">
        <v>186</v>
      </c>
      <c r="C262" t="s">
        <v>37</v>
      </c>
      <c r="D262" t="s">
        <v>38</v>
      </c>
      <c r="E262" t="s">
        <v>22</v>
      </c>
      <c r="F262" t="s">
        <v>13</v>
      </c>
      <c r="G262" t="s">
        <v>14</v>
      </c>
      <c r="H262">
        <v>12</v>
      </c>
      <c r="I262" s="2">
        <v>1675</v>
      </c>
      <c r="J262">
        <f t="shared" si="8"/>
        <v>20100</v>
      </c>
      <c r="K262" t="str">
        <f>TEXT(Tabla1[[#This Row],[Fecha]],"MMMM")</f>
        <v>November</v>
      </c>
      <c r="L262" t="str">
        <f>TEXT(Tabla1[[#This Row],[Fecha]],"DD")</f>
        <v>22</v>
      </c>
      <c r="M262" t="str">
        <f>TEXT(Tabla1[[#This Row],[Fecha]],"yyyy")</f>
        <v>2023</v>
      </c>
      <c r="N262">
        <f>MONTH(Tabla1[[#This Row],[Fecha]])</f>
        <v>11</v>
      </c>
      <c r="O262" s="2" t="str">
        <f t="shared" si="9"/>
        <v>T4-23</v>
      </c>
    </row>
    <row r="263" spans="1:15" x14ac:dyDescent="0.25">
      <c r="A263" s="8">
        <v>262</v>
      </c>
      <c r="B263" t="s">
        <v>55</v>
      </c>
      <c r="C263" t="s">
        <v>66</v>
      </c>
      <c r="D263" t="s">
        <v>17</v>
      </c>
      <c r="E263" t="s">
        <v>50</v>
      </c>
      <c r="F263" t="s">
        <v>35</v>
      </c>
      <c r="G263" t="s">
        <v>24</v>
      </c>
      <c r="H263">
        <v>12</v>
      </c>
      <c r="I263" s="2">
        <v>4085</v>
      </c>
      <c r="J263">
        <f t="shared" si="8"/>
        <v>49020</v>
      </c>
      <c r="K263" t="str">
        <f>TEXT(Tabla1[[#This Row],[Fecha]],"MMMM")</f>
        <v>January</v>
      </c>
      <c r="L263" t="str">
        <f>TEXT(Tabla1[[#This Row],[Fecha]],"DD")</f>
        <v>26</v>
      </c>
      <c r="M263" t="str">
        <f>TEXT(Tabla1[[#This Row],[Fecha]],"yyyy")</f>
        <v>2025</v>
      </c>
      <c r="N263">
        <f>MONTH(Tabla1[[#This Row],[Fecha]])</f>
        <v>1</v>
      </c>
      <c r="O263" s="2" t="str">
        <f t="shared" si="9"/>
        <v>T1-25</v>
      </c>
    </row>
    <row r="264" spans="1:15" x14ac:dyDescent="0.25">
      <c r="A264" s="8">
        <v>263</v>
      </c>
      <c r="B264" t="s">
        <v>274</v>
      </c>
      <c r="C264" t="s">
        <v>26</v>
      </c>
      <c r="D264" t="s">
        <v>27</v>
      </c>
      <c r="E264" t="s">
        <v>58</v>
      </c>
      <c r="F264" t="s">
        <v>23</v>
      </c>
      <c r="G264" t="s">
        <v>24</v>
      </c>
      <c r="H264">
        <v>21</v>
      </c>
      <c r="I264" s="2">
        <v>248</v>
      </c>
      <c r="J264">
        <f t="shared" si="8"/>
        <v>5208</v>
      </c>
      <c r="K264" t="str">
        <f>TEXT(Tabla1[[#This Row],[Fecha]],"MMMM")</f>
        <v>September</v>
      </c>
      <c r="L264" t="str">
        <f>TEXT(Tabla1[[#This Row],[Fecha]],"DD")</f>
        <v>08</v>
      </c>
      <c r="M264" t="str">
        <f>TEXT(Tabla1[[#This Row],[Fecha]],"yyyy")</f>
        <v>2024</v>
      </c>
      <c r="N264">
        <f>MONTH(Tabla1[[#This Row],[Fecha]])</f>
        <v>9</v>
      </c>
      <c r="O264" s="2" t="str">
        <f t="shared" si="9"/>
        <v>T3-24</v>
      </c>
    </row>
    <row r="265" spans="1:15" x14ac:dyDescent="0.25">
      <c r="A265" s="8">
        <v>264</v>
      </c>
      <c r="B265" t="s">
        <v>275</v>
      </c>
      <c r="C265" t="s">
        <v>46</v>
      </c>
      <c r="D265" t="s">
        <v>38</v>
      </c>
      <c r="E265" t="s">
        <v>72</v>
      </c>
      <c r="F265" t="s">
        <v>42</v>
      </c>
      <c r="G265" t="s">
        <v>14</v>
      </c>
      <c r="H265">
        <v>22</v>
      </c>
      <c r="I265" s="2">
        <v>3395</v>
      </c>
      <c r="J265">
        <f t="shared" si="8"/>
        <v>74690</v>
      </c>
      <c r="K265" t="str">
        <f>TEXT(Tabla1[[#This Row],[Fecha]],"MMMM")</f>
        <v>January</v>
      </c>
      <c r="L265" t="str">
        <f>TEXT(Tabla1[[#This Row],[Fecha]],"DD")</f>
        <v>14</v>
      </c>
      <c r="M265" t="str">
        <f>TEXT(Tabla1[[#This Row],[Fecha]],"yyyy")</f>
        <v>2024</v>
      </c>
      <c r="N265">
        <f>MONTH(Tabla1[[#This Row],[Fecha]])</f>
        <v>1</v>
      </c>
      <c r="O265" s="2" t="str">
        <f t="shared" si="9"/>
        <v>T1-24</v>
      </c>
    </row>
    <row r="266" spans="1:15" x14ac:dyDescent="0.25">
      <c r="A266" s="8">
        <v>265</v>
      </c>
      <c r="B266" t="s">
        <v>276</v>
      </c>
      <c r="C266" t="s">
        <v>30</v>
      </c>
      <c r="D266" t="s">
        <v>17</v>
      </c>
      <c r="E266" t="s">
        <v>44</v>
      </c>
      <c r="F266" t="s">
        <v>28</v>
      </c>
      <c r="G266" t="s">
        <v>24</v>
      </c>
      <c r="H266">
        <v>21</v>
      </c>
      <c r="I266" s="2">
        <v>1866</v>
      </c>
      <c r="J266">
        <f t="shared" si="8"/>
        <v>39186</v>
      </c>
      <c r="K266" t="str">
        <f>TEXT(Tabla1[[#This Row],[Fecha]],"MMMM")</f>
        <v>January</v>
      </c>
      <c r="L266" t="str">
        <f>TEXT(Tabla1[[#This Row],[Fecha]],"DD")</f>
        <v>21</v>
      </c>
      <c r="M266" t="str">
        <f>TEXT(Tabla1[[#This Row],[Fecha]],"yyyy")</f>
        <v>2024</v>
      </c>
      <c r="N266">
        <f>MONTH(Tabla1[[#This Row],[Fecha]])</f>
        <v>1</v>
      </c>
      <c r="O266" s="2" t="str">
        <f t="shared" si="9"/>
        <v>T1-24</v>
      </c>
    </row>
    <row r="267" spans="1:15" x14ac:dyDescent="0.25">
      <c r="A267" s="8">
        <v>266</v>
      </c>
      <c r="B267" t="s">
        <v>240</v>
      </c>
      <c r="C267" t="s">
        <v>16</v>
      </c>
      <c r="D267" t="s">
        <v>17</v>
      </c>
      <c r="E267" t="s">
        <v>44</v>
      </c>
      <c r="F267" t="s">
        <v>33</v>
      </c>
      <c r="G267" t="s">
        <v>24</v>
      </c>
      <c r="H267">
        <v>16</v>
      </c>
      <c r="I267" s="2">
        <v>4001</v>
      </c>
      <c r="J267">
        <f t="shared" si="8"/>
        <v>64016</v>
      </c>
      <c r="K267" t="str">
        <f>TEXT(Tabla1[[#This Row],[Fecha]],"MMMM")</f>
        <v>January</v>
      </c>
      <c r="L267" t="str">
        <f>TEXT(Tabla1[[#This Row],[Fecha]],"DD")</f>
        <v>20</v>
      </c>
      <c r="M267" t="str">
        <f>TEXT(Tabla1[[#This Row],[Fecha]],"yyyy")</f>
        <v>2024</v>
      </c>
      <c r="N267">
        <f>MONTH(Tabla1[[#This Row],[Fecha]])</f>
        <v>1</v>
      </c>
      <c r="O267" s="2" t="str">
        <f t="shared" si="9"/>
        <v>T1-24</v>
      </c>
    </row>
    <row r="268" spans="1:15" x14ac:dyDescent="0.25">
      <c r="A268" s="8">
        <v>267</v>
      </c>
      <c r="B268" t="s">
        <v>277</v>
      </c>
      <c r="C268" t="s">
        <v>20</v>
      </c>
      <c r="D268" t="s">
        <v>21</v>
      </c>
      <c r="E268" t="s">
        <v>72</v>
      </c>
      <c r="F268" t="s">
        <v>23</v>
      </c>
      <c r="G268" t="s">
        <v>24</v>
      </c>
      <c r="H268">
        <v>12</v>
      </c>
      <c r="I268" s="2">
        <v>4191</v>
      </c>
      <c r="J268">
        <f t="shared" si="8"/>
        <v>50292</v>
      </c>
      <c r="K268" t="str">
        <f>TEXT(Tabla1[[#This Row],[Fecha]],"MMMM")</f>
        <v>March</v>
      </c>
      <c r="L268" t="str">
        <f>TEXT(Tabla1[[#This Row],[Fecha]],"DD")</f>
        <v>12</v>
      </c>
      <c r="M268" t="str">
        <f>TEXT(Tabla1[[#This Row],[Fecha]],"yyyy")</f>
        <v>2023</v>
      </c>
      <c r="N268">
        <f>MONTH(Tabla1[[#This Row],[Fecha]])</f>
        <v>3</v>
      </c>
      <c r="O268" s="2" t="str">
        <f t="shared" si="9"/>
        <v>T1-23</v>
      </c>
    </row>
    <row r="269" spans="1:15" x14ac:dyDescent="0.25">
      <c r="A269" s="8">
        <v>268</v>
      </c>
      <c r="B269" t="s">
        <v>278</v>
      </c>
      <c r="C269" t="s">
        <v>20</v>
      </c>
      <c r="D269" t="s">
        <v>21</v>
      </c>
      <c r="E269" t="s">
        <v>61</v>
      </c>
      <c r="F269" t="s">
        <v>33</v>
      </c>
      <c r="G269" t="s">
        <v>14</v>
      </c>
      <c r="H269">
        <v>3</v>
      </c>
      <c r="I269" s="2">
        <v>762</v>
      </c>
      <c r="J269">
        <f t="shared" si="8"/>
        <v>2286</v>
      </c>
      <c r="K269" t="str">
        <f>TEXT(Tabla1[[#This Row],[Fecha]],"MMMM")</f>
        <v>December</v>
      </c>
      <c r="L269" t="str">
        <f>TEXT(Tabla1[[#This Row],[Fecha]],"DD")</f>
        <v>21</v>
      </c>
      <c r="M269" t="str">
        <f>TEXT(Tabla1[[#This Row],[Fecha]],"yyyy")</f>
        <v>2023</v>
      </c>
      <c r="N269">
        <f>MONTH(Tabla1[[#This Row],[Fecha]])</f>
        <v>12</v>
      </c>
      <c r="O269" s="2" t="str">
        <f t="shared" si="9"/>
        <v>T4-23</v>
      </c>
    </row>
    <row r="270" spans="1:15" x14ac:dyDescent="0.25">
      <c r="A270" s="8">
        <v>269</v>
      </c>
      <c r="B270" t="s">
        <v>279</v>
      </c>
      <c r="C270" t="s">
        <v>30</v>
      </c>
      <c r="D270" t="s">
        <v>17</v>
      </c>
      <c r="E270" t="s">
        <v>52</v>
      </c>
      <c r="F270" t="s">
        <v>42</v>
      </c>
      <c r="G270" t="s">
        <v>24</v>
      </c>
      <c r="H270">
        <v>12</v>
      </c>
      <c r="I270" s="2">
        <v>2882</v>
      </c>
      <c r="J270">
        <f t="shared" si="8"/>
        <v>34584</v>
      </c>
      <c r="K270" t="str">
        <f>TEXT(Tabla1[[#This Row],[Fecha]],"MMMM")</f>
        <v>April</v>
      </c>
      <c r="L270" t="str">
        <f>TEXT(Tabla1[[#This Row],[Fecha]],"DD")</f>
        <v>07</v>
      </c>
      <c r="M270" t="str">
        <f>TEXT(Tabla1[[#This Row],[Fecha]],"yyyy")</f>
        <v>2025</v>
      </c>
      <c r="N270">
        <f>MONTH(Tabla1[[#This Row],[Fecha]])</f>
        <v>4</v>
      </c>
      <c r="O270" s="2" t="str">
        <f t="shared" si="9"/>
        <v>T2-25</v>
      </c>
    </row>
    <row r="271" spans="1:15" x14ac:dyDescent="0.25">
      <c r="A271" s="8">
        <v>270</v>
      </c>
      <c r="B271" t="s">
        <v>280</v>
      </c>
      <c r="C271" t="s">
        <v>46</v>
      </c>
      <c r="D271" t="s">
        <v>38</v>
      </c>
      <c r="E271" t="s">
        <v>12</v>
      </c>
      <c r="F271" t="s">
        <v>18</v>
      </c>
      <c r="G271" t="s">
        <v>24</v>
      </c>
      <c r="H271">
        <v>11</v>
      </c>
      <c r="I271" s="2">
        <v>3467</v>
      </c>
      <c r="J271">
        <f t="shared" si="8"/>
        <v>38137</v>
      </c>
      <c r="K271" t="str">
        <f>TEXT(Tabla1[[#This Row],[Fecha]],"MMMM")</f>
        <v>April</v>
      </c>
      <c r="L271" t="str">
        <f>TEXT(Tabla1[[#This Row],[Fecha]],"DD")</f>
        <v>05</v>
      </c>
      <c r="M271" t="str">
        <f>TEXT(Tabla1[[#This Row],[Fecha]],"yyyy")</f>
        <v>2023</v>
      </c>
      <c r="N271">
        <f>MONTH(Tabla1[[#This Row],[Fecha]])</f>
        <v>4</v>
      </c>
      <c r="O271" s="2" t="str">
        <f t="shared" si="9"/>
        <v>T2-23</v>
      </c>
    </row>
    <row r="272" spans="1:15" x14ac:dyDescent="0.25">
      <c r="A272" s="8">
        <v>271</v>
      </c>
      <c r="B272" t="s">
        <v>281</v>
      </c>
      <c r="C272" t="s">
        <v>26</v>
      </c>
      <c r="D272" t="s">
        <v>27</v>
      </c>
      <c r="E272" t="s">
        <v>41</v>
      </c>
      <c r="F272" t="s">
        <v>28</v>
      </c>
      <c r="G272" t="s">
        <v>24</v>
      </c>
      <c r="H272">
        <v>4</v>
      </c>
      <c r="I272" s="2">
        <v>295</v>
      </c>
      <c r="J272">
        <f t="shared" si="8"/>
        <v>1180</v>
      </c>
      <c r="K272" t="str">
        <f>TEXT(Tabla1[[#This Row],[Fecha]],"MMMM")</f>
        <v>February</v>
      </c>
      <c r="L272" t="str">
        <f>TEXT(Tabla1[[#This Row],[Fecha]],"DD")</f>
        <v>23</v>
      </c>
      <c r="M272" t="str">
        <f>TEXT(Tabla1[[#This Row],[Fecha]],"yyyy")</f>
        <v>2023</v>
      </c>
      <c r="N272">
        <f>MONTH(Tabla1[[#This Row],[Fecha]])</f>
        <v>2</v>
      </c>
      <c r="O272" s="2" t="str">
        <f t="shared" si="9"/>
        <v>T1-23</v>
      </c>
    </row>
    <row r="273" spans="1:15" x14ac:dyDescent="0.25">
      <c r="A273" s="8">
        <v>272</v>
      </c>
      <c r="B273" t="s">
        <v>282</v>
      </c>
      <c r="C273" t="s">
        <v>37</v>
      </c>
      <c r="D273" t="s">
        <v>38</v>
      </c>
      <c r="E273" t="s">
        <v>12</v>
      </c>
      <c r="F273" t="s">
        <v>33</v>
      </c>
      <c r="G273" t="s">
        <v>24</v>
      </c>
      <c r="H273">
        <v>5</v>
      </c>
      <c r="I273" s="2">
        <v>3205</v>
      </c>
      <c r="J273">
        <f t="shared" si="8"/>
        <v>16025</v>
      </c>
      <c r="K273" t="str">
        <f>TEXT(Tabla1[[#This Row],[Fecha]],"MMMM")</f>
        <v>August</v>
      </c>
      <c r="L273" t="str">
        <f>TEXT(Tabla1[[#This Row],[Fecha]],"DD")</f>
        <v>21</v>
      </c>
      <c r="M273" t="str">
        <f>TEXT(Tabla1[[#This Row],[Fecha]],"yyyy")</f>
        <v>2025</v>
      </c>
      <c r="N273">
        <f>MONTH(Tabla1[[#This Row],[Fecha]])</f>
        <v>8</v>
      </c>
      <c r="O273" s="2" t="str">
        <f t="shared" si="9"/>
        <v>T3-25</v>
      </c>
    </row>
    <row r="274" spans="1:15" x14ac:dyDescent="0.25">
      <c r="A274" s="8">
        <v>273</v>
      </c>
      <c r="B274" t="s">
        <v>283</v>
      </c>
      <c r="C274" t="s">
        <v>26</v>
      </c>
      <c r="D274" t="s">
        <v>27</v>
      </c>
      <c r="E274" t="s">
        <v>12</v>
      </c>
      <c r="F274" t="s">
        <v>28</v>
      </c>
      <c r="G274" t="s">
        <v>24</v>
      </c>
      <c r="H274">
        <v>10</v>
      </c>
      <c r="I274" s="2">
        <v>3855</v>
      </c>
      <c r="J274">
        <f t="shared" si="8"/>
        <v>38550</v>
      </c>
      <c r="K274" t="str">
        <f>TEXT(Tabla1[[#This Row],[Fecha]],"MMMM")</f>
        <v>November</v>
      </c>
      <c r="L274" t="str">
        <f>TEXT(Tabla1[[#This Row],[Fecha]],"DD")</f>
        <v>24</v>
      </c>
      <c r="M274" t="str">
        <f>TEXT(Tabla1[[#This Row],[Fecha]],"yyyy")</f>
        <v>2025</v>
      </c>
      <c r="N274">
        <f>MONTH(Tabla1[[#This Row],[Fecha]])</f>
        <v>11</v>
      </c>
      <c r="O274" s="2" t="str">
        <f t="shared" si="9"/>
        <v>T4-25</v>
      </c>
    </row>
    <row r="275" spans="1:15" x14ac:dyDescent="0.25">
      <c r="A275" s="8">
        <v>274</v>
      </c>
      <c r="B275" t="s">
        <v>117</v>
      </c>
      <c r="C275" t="s">
        <v>46</v>
      </c>
      <c r="D275" t="s">
        <v>38</v>
      </c>
      <c r="E275" t="s">
        <v>58</v>
      </c>
      <c r="F275" t="s">
        <v>23</v>
      </c>
      <c r="G275" t="s">
        <v>24</v>
      </c>
      <c r="H275">
        <v>3</v>
      </c>
      <c r="I275" s="2">
        <v>1229</v>
      </c>
      <c r="J275">
        <f t="shared" si="8"/>
        <v>3687</v>
      </c>
      <c r="K275" t="str">
        <f>TEXT(Tabla1[[#This Row],[Fecha]],"MMMM")</f>
        <v>December</v>
      </c>
      <c r="L275" t="str">
        <f>TEXT(Tabla1[[#This Row],[Fecha]],"DD")</f>
        <v>12</v>
      </c>
      <c r="M275" t="str">
        <f>TEXT(Tabla1[[#This Row],[Fecha]],"yyyy")</f>
        <v>2023</v>
      </c>
      <c r="N275">
        <f>MONTH(Tabla1[[#This Row],[Fecha]])</f>
        <v>12</v>
      </c>
      <c r="O275" s="2" t="str">
        <f t="shared" si="9"/>
        <v>T4-23</v>
      </c>
    </row>
    <row r="276" spans="1:15" x14ac:dyDescent="0.25">
      <c r="A276" s="8">
        <v>275</v>
      </c>
      <c r="B276" t="s">
        <v>284</v>
      </c>
      <c r="C276" t="s">
        <v>69</v>
      </c>
      <c r="D276" t="s">
        <v>17</v>
      </c>
      <c r="E276" t="s">
        <v>58</v>
      </c>
      <c r="F276" t="s">
        <v>42</v>
      </c>
      <c r="G276" t="s">
        <v>14</v>
      </c>
      <c r="H276">
        <v>12</v>
      </c>
      <c r="I276" s="2">
        <v>1320</v>
      </c>
      <c r="J276">
        <f t="shared" si="8"/>
        <v>15840</v>
      </c>
      <c r="K276" t="str">
        <f>TEXT(Tabla1[[#This Row],[Fecha]],"MMMM")</f>
        <v>April</v>
      </c>
      <c r="L276" t="str">
        <f>TEXT(Tabla1[[#This Row],[Fecha]],"DD")</f>
        <v>05</v>
      </c>
      <c r="M276" t="str">
        <f>TEXT(Tabla1[[#This Row],[Fecha]],"yyyy")</f>
        <v>2024</v>
      </c>
      <c r="N276">
        <f>MONTH(Tabla1[[#This Row],[Fecha]])</f>
        <v>4</v>
      </c>
      <c r="O276" s="2" t="str">
        <f t="shared" si="9"/>
        <v>T2-24</v>
      </c>
    </row>
    <row r="277" spans="1:15" x14ac:dyDescent="0.25">
      <c r="A277" s="8">
        <v>276</v>
      </c>
      <c r="B277" t="s">
        <v>285</v>
      </c>
      <c r="C277" t="s">
        <v>16</v>
      </c>
      <c r="D277" t="s">
        <v>17</v>
      </c>
      <c r="E277" t="s">
        <v>61</v>
      </c>
      <c r="F277" t="s">
        <v>13</v>
      </c>
      <c r="G277" t="s">
        <v>14</v>
      </c>
      <c r="H277">
        <v>5</v>
      </c>
      <c r="I277" s="2">
        <v>2643</v>
      </c>
      <c r="J277">
        <f t="shared" si="8"/>
        <v>13215</v>
      </c>
      <c r="K277" t="str">
        <f>TEXT(Tabla1[[#This Row],[Fecha]],"MMMM")</f>
        <v>August</v>
      </c>
      <c r="L277" t="str">
        <f>TEXT(Tabla1[[#This Row],[Fecha]],"DD")</f>
        <v>26</v>
      </c>
      <c r="M277" t="str">
        <f>TEXT(Tabla1[[#This Row],[Fecha]],"yyyy")</f>
        <v>2023</v>
      </c>
      <c r="N277">
        <f>MONTH(Tabla1[[#This Row],[Fecha]])</f>
        <v>8</v>
      </c>
      <c r="O277" s="2" t="str">
        <f t="shared" si="9"/>
        <v>T3-23</v>
      </c>
    </row>
    <row r="278" spans="1:15" x14ac:dyDescent="0.25">
      <c r="A278" s="8">
        <v>277</v>
      </c>
      <c r="B278" t="s">
        <v>286</v>
      </c>
      <c r="C278" t="s">
        <v>30</v>
      </c>
      <c r="D278" t="s">
        <v>17</v>
      </c>
      <c r="E278" t="s">
        <v>72</v>
      </c>
      <c r="F278" t="s">
        <v>35</v>
      </c>
      <c r="G278" t="s">
        <v>14</v>
      </c>
      <c r="H278">
        <v>24</v>
      </c>
      <c r="I278" s="2">
        <v>2219</v>
      </c>
      <c r="J278">
        <f t="shared" si="8"/>
        <v>53256</v>
      </c>
      <c r="K278" t="str">
        <f>TEXT(Tabla1[[#This Row],[Fecha]],"MMMM")</f>
        <v>March</v>
      </c>
      <c r="L278" t="str">
        <f>TEXT(Tabla1[[#This Row],[Fecha]],"DD")</f>
        <v>03</v>
      </c>
      <c r="M278" t="str">
        <f>TEXT(Tabla1[[#This Row],[Fecha]],"yyyy")</f>
        <v>2023</v>
      </c>
      <c r="N278">
        <f>MONTH(Tabla1[[#This Row],[Fecha]])</f>
        <v>3</v>
      </c>
      <c r="O278" s="2" t="str">
        <f t="shared" si="9"/>
        <v>T1-23</v>
      </c>
    </row>
    <row r="279" spans="1:15" x14ac:dyDescent="0.25">
      <c r="A279" s="8">
        <v>278</v>
      </c>
      <c r="B279" t="s">
        <v>287</v>
      </c>
      <c r="C279" t="s">
        <v>49</v>
      </c>
      <c r="D279" t="s">
        <v>21</v>
      </c>
      <c r="E279" t="s">
        <v>50</v>
      </c>
      <c r="F279" t="s">
        <v>18</v>
      </c>
      <c r="G279" t="s">
        <v>24</v>
      </c>
      <c r="H279">
        <v>9</v>
      </c>
      <c r="I279" s="2">
        <v>1739</v>
      </c>
      <c r="J279">
        <f t="shared" si="8"/>
        <v>15651</v>
      </c>
      <c r="K279" t="str">
        <f>TEXT(Tabla1[[#This Row],[Fecha]],"MMMM")</f>
        <v>March</v>
      </c>
      <c r="L279" t="str">
        <f>TEXT(Tabla1[[#This Row],[Fecha]],"DD")</f>
        <v>06</v>
      </c>
      <c r="M279" t="str">
        <f>TEXT(Tabla1[[#This Row],[Fecha]],"yyyy")</f>
        <v>2025</v>
      </c>
      <c r="N279">
        <f>MONTH(Tabla1[[#This Row],[Fecha]])</f>
        <v>3</v>
      </c>
      <c r="O279" s="2" t="str">
        <f t="shared" si="9"/>
        <v>T1-25</v>
      </c>
    </row>
    <row r="280" spans="1:15" x14ac:dyDescent="0.25">
      <c r="A280" s="8">
        <v>279</v>
      </c>
      <c r="B280" t="s">
        <v>288</v>
      </c>
      <c r="C280" t="s">
        <v>10</v>
      </c>
      <c r="D280" t="s">
        <v>11</v>
      </c>
      <c r="E280" t="s">
        <v>58</v>
      </c>
      <c r="F280" t="s">
        <v>18</v>
      </c>
      <c r="G280" t="s">
        <v>24</v>
      </c>
      <c r="H280">
        <v>18</v>
      </c>
      <c r="I280" s="2">
        <v>1243</v>
      </c>
      <c r="J280">
        <f t="shared" si="8"/>
        <v>22374</v>
      </c>
      <c r="K280" t="str">
        <f>TEXT(Tabla1[[#This Row],[Fecha]],"MMMM")</f>
        <v>December</v>
      </c>
      <c r="L280" t="str">
        <f>TEXT(Tabla1[[#This Row],[Fecha]],"DD")</f>
        <v>26</v>
      </c>
      <c r="M280" t="str">
        <f>TEXT(Tabla1[[#This Row],[Fecha]],"yyyy")</f>
        <v>2023</v>
      </c>
      <c r="N280">
        <f>MONTH(Tabla1[[#This Row],[Fecha]])</f>
        <v>12</v>
      </c>
      <c r="O280" s="2" t="str">
        <f t="shared" si="9"/>
        <v>T4-23</v>
      </c>
    </row>
    <row r="281" spans="1:15" x14ac:dyDescent="0.25">
      <c r="A281" s="8">
        <v>280</v>
      </c>
      <c r="B281" t="s">
        <v>289</v>
      </c>
      <c r="C281" t="s">
        <v>37</v>
      </c>
      <c r="D281" t="s">
        <v>38</v>
      </c>
      <c r="E281" t="s">
        <v>50</v>
      </c>
      <c r="F281" t="s">
        <v>42</v>
      </c>
      <c r="G281" t="s">
        <v>24</v>
      </c>
      <c r="H281">
        <v>12</v>
      </c>
      <c r="I281" s="2">
        <v>3457</v>
      </c>
      <c r="J281">
        <f t="shared" si="8"/>
        <v>41484</v>
      </c>
      <c r="K281" t="str">
        <f>TEXT(Tabla1[[#This Row],[Fecha]],"MMMM")</f>
        <v>May</v>
      </c>
      <c r="L281" t="str">
        <f>TEXT(Tabla1[[#This Row],[Fecha]],"DD")</f>
        <v>28</v>
      </c>
      <c r="M281" t="str">
        <f>TEXT(Tabla1[[#This Row],[Fecha]],"yyyy")</f>
        <v>2023</v>
      </c>
      <c r="N281">
        <f>MONTH(Tabla1[[#This Row],[Fecha]])</f>
        <v>5</v>
      </c>
      <c r="O281" s="2" t="str">
        <f t="shared" si="9"/>
        <v>T2-23</v>
      </c>
    </row>
    <row r="282" spans="1:15" x14ac:dyDescent="0.25">
      <c r="A282" s="8">
        <v>281</v>
      </c>
      <c r="B282" t="s">
        <v>290</v>
      </c>
      <c r="C282" t="s">
        <v>20</v>
      </c>
      <c r="D282" t="s">
        <v>21</v>
      </c>
      <c r="E282" t="s">
        <v>50</v>
      </c>
      <c r="F282" t="s">
        <v>28</v>
      </c>
      <c r="G282" t="s">
        <v>14</v>
      </c>
      <c r="H282">
        <v>18</v>
      </c>
      <c r="I282" s="2">
        <v>426</v>
      </c>
      <c r="J282">
        <f t="shared" si="8"/>
        <v>7668</v>
      </c>
      <c r="K282" t="str">
        <f>TEXT(Tabla1[[#This Row],[Fecha]],"MMMM")</f>
        <v>November</v>
      </c>
      <c r="L282" t="str">
        <f>TEXT(Tabla1[[#This Row],[Fecha]],"DD")</f>
        <v>24</v>
      </c>
      <c r="M282" t="str">
        <f>TEXT(Tabla1[[#This Row],[Fecha]],"yyyy")</f>
        <v>2023</v>
      </c>
      <c r="N282">
        <f>MONTH(Tabla1[[#This Row],[Fecha]])</f>
        <v>11</v>
      </c>
      <c r="O282" s="2" t="str">
        <f t="shared" si="9"/>
        <v>T4-23</v>
      </c>
    </row>
    <row r="283" spans="1:15" x14ac:dyDescent="0.25">
      <c r="A283" s="8">
        <v>282</v>
      </c>
      <c r="B283" t="s">
        <v>291</v>
      </c>
      <c r="C283" t="s">
        <v>66</v>
      </c>
      <c r="D283" t="s">
        <v>17</v>
      </c>
      <c r="E283" t="s">
        <v>61</v>
      </c>
      <c r="F283" t="s">
        <v>28</v>
      </c>
      <c r="G283" t="s">
        <v>14</v>
      </c>
      <c r="H283">
        <v>21</v>
      </c>
      <c r="I283" s="2">
        <v>4268</v>
      </c>
      <c r="J283">
        <f t="shared" si="8"/>
        <v>89628</v>
      </c>
      <c r="K283" t="str">
        <f>TEXT(Tabla1[[#This Row],[Fecha]],"MMMM")</f>
        <v>May</v>
      </c>
      <c r="L283" t="str">
        <f>TEXT(Tabla1[[#This Row],[Fecha]],"DD")</f>
        <v>30</v>
      </c>
      <c r="M283" t="str">
        <f>TEXT(Tabla1[[#This Row],[Fecha]],"yyyy")</f>
        <v>2025</v>
      </c>
      <c r="N283">
        <f>MONTH(Tabla1[[#This Row],[Fecha]])</f>
        <v>5</v>
      </c>
      <c r="O283" s="2" t="str">
        <f t="shared" si="9"/>
        <v>T2-25</v>
      </c>
    </row>
    <row r="284" spans="1:15" x14ac:dyDescent="0.25">
      <c r="A284" s="8">
        <v>283</v>
      </c>
      <c r="B284" t="s">
        <v>292</v>
      </c>
      <c r="C284" t="s">
        <v>16</v>
      </c>
      <c r="D284" t="s">
        <v>17</v>
      </c>
      <c r="E284" t="s">
        <v>52</v>
      </c>
      <c r="F284" t="s">
        <v>28</v>
      </c>
      <c r="G284" t="s">
        <v>24</v>
      </c>
      <c r="H284">
        <v>9</v>
      </c>
      <c r="I284" s="2">
        <v>4031</v>
      </c>
      <c r="J284">
        <f t="shared" si="8"/>
        <v>36279</v>
      </c>
      <c r="K284" t="str">
        <f>TEXT(Tabla1[[#This Row],[Fecha]],"MMMM")</f>
        <v>March</v>
      </c>
      <c r="L284" t="str">
        <f>TEXT(Tabla1[[#This Row],[Fecha]],"DD")</f>
        <v>03</v>
      </c>
      <c r="M284" t="str">
        <f>TEXT(Tabla1[[#This Row],[Fecha]],"yyyy")</f>
        <v>2025</v>
      </c>
      <c r="N284">
        <f>MONTH(Tabla1[[#This Row],[Fecha]])</f>
        <v>3</v>
      </c>
      <c r="O284" s="2" t="str">
        <f t="shared" si="9"/>
        <v>T1-25</v>
      </c>
    </row>
    <row r="285" spans="1:15" x14ac:dyDescent="0.25">
      <c r="A285" s="8">
        <v>284</v>
      </c>
      <c r="B285" t="s">
        <v>293</v>
      </c>
      <c r="C285" t="s">
        <v>16</v>
      </c>
      <c r="D285" t="s">
        <v>17</v>
      </c>
      <c r="E285" t="s">
        <v>22</v>
      </c>
      <c r="F285" t="s">
        <v>35</v>
      </c>
      <c r="G285" t="s">
        <v>24</v>
      </c>
      <c r="H285">
        <v>11</v>
      </c>
      <c r="I285" s="2">
        <v>3836</v>
      </c>
      <c r="J285">
        <f t="shared" si="8"/>
        <v>42196</v>
      </c>
      <c r="K285" t="str">
        <f>TEXT(Tabla1[[#This Row],[Fecha]],"MMMM")</f>
        <v>May</v>
      </c>
      <c r="L285" t="str">
        <f>TEXT(Tabla1[[#This Row],[Fecha]],"DD")</f>
        <v>09</v>
      </c>
      <c r="M285" t="str">
        <f>TEXT(Tabla1[[#This Row],[Fecha]],"yyyy")</f>
        <v>2023</v>
      </c>
      <c r="N285">
        <f>MONTH(Tabla1[[#This Row],[Fecha]])</f>
        <v>5</v>
      </c>
      <c r="O285" s="2" t="str">
        <f t="shared" si="9"/>
        <v>T2-23</v>
      </c>
    </row>
    <row r="286" spans="1:15" x14ac:dyDescent="0.25">
      <c r="A286" s="8">
        <v>285</v>
      </c>
      <c r="B286" t="s">
        <v>294</v>
      </c>
      <c r="C286" t="s">
        <v>10</v>
      </c>
      <c r="D286" t="s">
        <v>11</v>
      </c>
      <c r="E286" t="s">
        <v>32</v>
      </c>
      <c r="F286" t="s">
        <v>18</v>
      </c>
      <c r="G286" t="s">
        <v>14</v>
      </c>
      <c r="H286">
        <v>1</v>
      </c>
      <c r="I286" s="2">
        <v>1568</v>
      </c>
      <c r="J286">
        <f t="shared" si="8"/>
        <v>1568</v>
      </c>
      <c r="K286" t="str">
        <f>TEXT(Tabla1[[#This Row],[Fecha]],"MMMM")</f>
        <v>May</v>
      </c>
      <c r="L286" t="str">
        <f>TEXT(Tabla1[[#This Row],[Fecha]],"DD")</f>
        <v>06</v>
      </c>
      <c r="M286" t="str">
        <f>TEXT(Tabla1[[#This Row],[Fecha]],"yyyy")</f>
        <v>2025</v>
      </c>
      <c r="N286">
        <f>MONTH(Tabla1[[#This Row],[Fecha]])</f>
        <v>5</v>
      </c>
      <c r="O286" s="2" t="str">
        <f t="shared" si="9"/>
        <v>T2-25</v>
      </c>
    </row>
    <row r="287" spans="1:15" x14ac:dyDescent="0.25">
      <c r="A287" s="8">
        <v>286</v>
      </c>
      <c r="B287" t="s">
        <v>295</v>
      </c>
      <c r="C287" t="s">
        <v>20</v>
      </c>
      <c r="D287" t="s">
        <v>21</v>
      </c>
      <c r="E287" t="s">
        <v>22</v>
      </c>
      <c r="F287" t="s">
        <v>35</v>
      </c>
      <c r="G287" t="s">
        <v>24</v>
      </c>
      <c r="H287">
        <v>14</v>
      </c>
      <c r="I287" s="2">
        <v>1610</v>
      </c>
      <c r="J287">
        <f t="shared" si="8"/>
        <v>22540</v>
      </c>
      <c r="K287" t="str">
        <f>TEXT(Tabla1[[#This Row],[Fecha]],"MMMM")</f>
        <v>September</v>
      </c>
      <c r="L287" t="str">
        <f>TEXT(Tabla1[[#This Row],[Fecha]],"DD")</f>
        <v>13</v>
      </c>
      <c r="M287" t="str">
        <f>TEXT(Tabla1[[#This Row],[Fecha]],"yyyy")</f>
        <v>2025</v>
      </c>
      <c r="N287">
        <f>MONTH(Tabla1[[#This Row],[Fecha]])</f>
        <v>9</v>
      </c>
      <c r="O287" s="2" t="str">
        <f t="shared" si="9"/>
        <v>T3-25</v>
      </c>
    </row>
    <row r="288" spans="1:15" x14ac:dyDescent="0.25">
      <c r="A288" s="8">
        <v>287</v>
      </c>
      <c r="B288" t="s">
        <v>178</v>
      </c>
      <c r="C288" t="s">
        <v>66</v>
      </c>
      <c r="D288" t="s">
        <v>17</v>
      </c>
      <c r="E288" t="s">
        <v>22</v>
      </c>
      <c r="F288" t="s">
        <v>28</v>
      </c>
      <c r="G288" t="s">
        <v>14</v>
      </c>
      <c r="H288">
        <v>4</v>
      </c>
      <c r="I288" s="2">
        <v>1580</v>
      </c>
      <c r="J288">
        <f t="shared" si="8"/>
        <v>6320</v>
      </c>
      <c r="K288" t="str">
        <f>TEXT(Tabla1[[#This Row],[Fecha]],"MMMM")</f>
        <v>April</v>
      </c>
      <c r="L288" t="str">
        <f>TEXT(Tabla1[[#This Row],[Fecha]],"DD")</f>
        <v>04</v>
      </c>
      <c r="M288" t="str">
        <f>TEXT(Tabla1[[#This Row],[Fecha]],"yyyy")</f>
        <v>2024</v>
      </c>
      <c r="N288">
        <f>MONTH(Tabla1[[#This Row],[Fecha]])</f>
        <v>4</v>
      </c>
      <c r="O288" s="2" t="str">
        <f t="shared" si="9"/>
        <v>T2-24</v>
      </c>
    </row>
    <row r="289" spans="1:15" x14ac:dyDescent="0.25">
      <c r="A289" s="8">
        <v>288</v>
      </c>
      <c r="B289" t="s">
        <v>296</v>
      </c>
      <c r="C289" t="s">
        <v>26</v>
      </c>
      <c r="D289" t="s">
        <v>27</v>
      </c>
      <c r="E289" t="s">
        <v>12</v>
      </c>
      <c r="F289" t="s">
        <v>35</v>
      </c>
      <c r="G289" t="s">
        <v>24</v>
      </c>
      <c r="H289">
        <v>2</v>
      </c>
      <c r="I289" s="2">
        <v>930</v>
      </c>
      <c r="J289">
        <f t="shared" si="8"/>
        <v>1860</v>
      </c>
      <c r="K289" t="str">
        <f>TEXT(Tabla1[[#This Row],[Fecha]],"MMMM")</f>
        <v>November</v>
      </c>
      <c r="L289" t="str">
        <f>TEXT(Tabla1[[#This Row],[Fecha]],"DD")</f>
        <v>27</v>
      </c>
      <c r="M289" t="str">
        <f>TEXT(Tabla1[[#This Row],[Fecha]],"yyyy")</f>
        <v>2023</v>
      </c>
      <c r="N289">
        <f>MONTH(Tabla1[[#This Row],[Fecha]])</f>
        <v>11</v>
      </c>
      <c r="O289" s="2" t="str">
        <f t="shared" si="9"/>
        <v>T4-23</v>
      </c>
    </row>
    <row r="290" spans="1:15" x14ac:dyDescent="0.25">
      <c r="A290" s="8">
        <v>289</v>
      </c>
      <c r="B290" t="s">
        <v>297</v>
      </c>
      <c r="C290" t="s">
        <v>66</v>
      </c>
      <c r="D290" t="s">
        <v>17</v>
      </c>
      <c r="E290" t="s">
        <v>44</v>
      </c>
      <c r="F290" t="s">
        <v>42</v>
      </c>
      <c r="G290" t="s">
        <v>24</v>
      </c>
      <c r="H290">
        <v>14</v>
      </c>
      <c r="I290" s="2">
        <v>920</v>
      </c>
      <c r="J290">
        <f t="shared" si="8"/>
        <v>12880</v>
      </c>
      <c r="K290" t="str">
        <f>TEXT(Tabla1[[#This Row],[Fecha]],"MMMM")</f>
        <v>August</v>
      </c>
      <c r="L290" t="str">
        <f>TEXT(Tabla1[[#This Row],[Fecha]],"DD")</f>
        <v>20</v>
      </c>
      <c r="M290" t="str">
        <f>TEXT(Tabla1[[#This Row],[Fecha]],"yyyy")</f>
        <v>2025</v>
      </c>
      <c r="N290">
        <f>MONTH(Tabla1[[#This Row],[Fecha]])</f>
        <v>8</v>
      </c>
      <c r="O290" s="2" t="str">
        <f t="shared" si="9"/>
        <v>T3-25</v>
      </c>
    </row>
    <row r="291" spans="1:15" x14ac:dyDescent="0.25">
      <c r="A291" s="8">
        <v>290</v>
      </c>
      <c r="B291" t="s">
        <v>298</v>
      </c>
      <c r="C291" t="s">
        <v>16</v>
      </c>
      <c r="D291" t="s">
        <v>17</v>
      </c>
      <c r="E291" t="s">
        <v>41</v>
      </c>
      <c r="F291" t="s">
        <v>33</v>
      </c>
      <c r="G291" t="s">
        <v>14</v>
      </c>
      <c r="H291">
        <v>5</v>
      </c>
      <c r="I291" s="2">
        <v>2058</v>
      </c>
      <c r="J291">
        <f t="shared" si="8"/>
        <v>10290</v>
      </c>
      <c r="K291" t="str">
        <f>TEXT(Tabla1[[#This Row],[Fecha]],"MMMM")</f>
        <v>July</v>
      </c>
      <c r="L291" t="str">
        <f>TEXT(Tabla1[[#This Row],[Fecha]],"DD")</f>
        <v>17</v>
      </c>
      <c r="M291" t="str">
        <f>TEXT(Tabla1[[#This Row],[Fecha]],"yyyy")</f>
        <v>2024</v>
      </c>
      <c r="N291">
        <f>MONTH(Tabla1[[#This Row],[Fecha]])</f>
        <v>7</v>
      </c>
      <c r="O291" s="2" t="str">
        <f t="shared" si="9"/>
        <v>T3-24</v>
      </c>
    </row>
    <row r="292" spans="1:15" x14ac:dyDescent="0.25">
      <c r="A292" s="8">
        <v>291</v>
      </c>
      <c r="B292" t="s">
        <v>299</v>
      </c>
      <c r="C292" t="s">
        <v>37</v>
      </c>
      <c r="D292" t="s">
        <v>38</v>
      </c>
      <c r="E292" t="s">
        <v>12</v>
      </c>
      <c r="F292" t="s">
        <v>42</v>
      </c>
      <c r="G292" t="s">
        <v>14</v>
      </c>
      <c r="H292">
        <v>7</v>
      </c>
      <c r="I292" s="2">
        <v>754</v>
      </c>
      <c r="J292">
        <f t="shared" si="8"/>
        <v>5278</v>
      </c>
      <c r="K292" t="str">
        <f>TEXT(Tabla1[[#This Row],[Fecha]],"MMMM")</f>
        <v>November</v>
      </c>
      <c r="L292" t="str">
        <f>TEXT(Tabla1[[#This Row],[Fecha]],"DD")</f>
        <v>15</v>
      </c>
      <c r="M292" t="str">
        <f>TEXT(Tabla1[[#This Row],[Fecha]],"yyyy")</f>
        <v>2024</v>
      </c>
      <c r="N292">
        <f>MONTH(Tabla1[[#This Row],[Fecha]])</f>
        <v>11</v>
      </c>
      <c r="O292" s="2" t="str">
        <f t="shared" si="9"/>
        <v>T4-24</v>
      </c>
    </row>
    <row r="293" spans="1:15" x14ac:dyDescent="0.25">
      <c r="A293" s="8">
        <v>292</v>
      </c>
      <c r="B293" t="s">
        <v>300</v>
      </c>
      <c r="C293" t="s">
        <v>26</v>
      </c>
      <c r="D293" t="s">
        <v>27</v>
      </c>
      <c r="E293" t="s">
        <v>52</v>
      </c>
      <c r="F293" t="s">
        <v>33</v>
      </c>
      <c r="G293" t="s">
        <v>24</v>
      </c>
      <c r="H293">
        <v>9</v>
      </c>
      <c r="I293" s="2">
        <v>2933</v>
      </c>
      <c r="J293">
        <f t="shared" si="8"/>
        <v>26397</v>
      </c>
      <c r="K293" t="str">
        <f>TEXT(Tabla1[[#This Row],[Fecha]],"MMMM")</f>
        <v>January</v>
      </c>
      <c r="L293" t="str">
        <f>TEXT(Tabla1[[#This Row],[Fecha]],"DD")</f>
        <v>30</v>
      </c>
      <c r="M293" t="str">
        <f>TEXT(Tabla1[[#This Row],[Fecha]],"yyyy")</f>
        <v>2025</v>
      </c>
      <c r="N293">
        <f>MONTH(Tabla1[[#This Row],[Fecha]])</f>
        <v>1</v>
      </c>
      <c r="O293" s="2" t="str">
        <f t="shared" si="9"/>
        <v>T1-25</v>
      </c>
    </row>
    <row r="294" spans="1:15" x14ac:dyDescent="0.25">
      <c r="A294" s="8">
        <v>293</v>
      </c>
      <c r="B294" t="s">
        <v>301</v>
      </c>
      <c r="C294" t="s">
        <v>10</v>
      </c>
      <c r="D294" t="s">
        <v>11</v>
      </c>
      <c r="E294" t="s">
        <v>72</v>
      </c>
      <c r="F294" t="s">
        <v>42</v>
      </c>
      <c r="G294" t="s">
        <v>14</v>
      </c>
      <c r="H294">
        <v>23</v>
      </c>
      <c r="I294" s="2">
        <v>4231</v>
      </c>
      <c r="J294">
        <f t="shared" si="8"/>
        <v>97313</v>
      </c>
      <c r="K294" t="str">
        <f>TEXT(Tabla1[[#This Row],[Fecha]],"MMMM")</f>
        <v>November</v>
      </c>
      <c r="L294" t="str">
        <f>TEXT(Tabla1[[#This Row],[Fecha]],"DD")</f>
        <v>01</v>
      </c>
      <c r="M294" t="str">
        <f>TEXT(Tabla1[[#This Row],[Fecha]],"yyyy")</f>
        <v>2025</v>
      </c>
      <c r="N294">
        <f>MONTH(Tabla1[[#This Row],[Fecha]])</f>
        <v>11</v>
      </c>
      <c r="O294" s="2" t="str">
        <f t="shared" si="9"/>
        <v>T4-25</v>
      </c>
    </row>
    <row r="295" spans="1:15" x14ac:dyDescent="0.25">
      <c r="A295" s="8">
        <v>294</v>
      </c>
      <c r="B295" t="s">
        <v>302</v>
      </c>
      <c r="C295" t="s">
        <v>30</v>
      </c>
      <c r="D295" t="s">
        <v>17</v>
      </c>
      <c r="E295" t="s">
        <v>12</v>
      </c>
      <c r="F295" t="s">
        <v>18</v>
      </c>
      <c r="G295" t="s">
        <v>14</v>
      </c>
      <c r="H295">
        <v>24</v>
      </c>
      <c r="I295" s="2">
        <v>1315</v>
      </c>
      <c r="J295">
        <f t="shared" si="8"/>
        <v>31560</v>
      </c>
      <c r="K295" t="str">
        <f>TEXT(Tabla1[[#This Row],[Fecha]],"MMMM")</f>
        <v>March</v>
      </c>
      <c r="L295" t="str">
        <f>TEXT(Tabla1[[#This Row],[Fecha]],"DD")</f>
        <v>18</v>
      </c>
      <c r="M295" t="str">
        <f>TEXT(Tabla1[[#This Row],[Fecha]],"yyyy")</f>
        <v>2025</v>
      </c>
      <c r="N295">
        <f>MONTH(Tabla1[[#This Row],[Fecha]])</f>
        <v>3</v>
      </c>
      <c r="O295" s="2" t="str">
        <f t="shared" si="9"/>
        <v>T1-25</v>
      </c>
    </row>
    <row r="296" spans="1:15" x14ac:dyDescent="0.25">
      <c r="A296" s="8">
        <v>295</v>
      </c>
      <c r="B296" t="s">
        <v>264</v>
      </c>
      <c r="C296" t="s">
        <v>20</v>
      </c>
      <c r="D296" t="s">
        <v>21</v>
      </c>
      <c r="E296" t="s">
        <v>58</v>
      </c>
      <c r="F296" t="s">
        <v>23</v>
      </c>
      <c r="G296" t="s">
        <v>24</v>
      </c>
      <c r="H296">
        <v>3</v>
      </c>
      <c r="I296" s="2">
        <v>2271</v>
      </c>
      <c r="J296">
        <f t="shared" si="8"/>
        <v>6813</v>
      </c>
      <c r="K296" t="str">
        <f>TEXT(Tabla1[[#This Row],[Fecha]],"MMMM")</f>
        <v>February</v>
      </c>
      <c r="L296" t="str">
        <f>TEXT(Tabla1[[#This Row],[Fecha]],"DD")</f>
        <v>11</v>
      </c>
      <c r="M296" t="str">
        <f>TEXT(Tabla1[[#This Row],[Fecha]],"yyyy")</f>
        <v>2023</v>
      </c>
      <c r="N296">
        <f>MONTH(Tabla1[[#This Row],[Fecha]])</f>
        <v>2</v>
      </c>
      <c r="O296" s="2" t="str">
        <f t="shared" si="9"/>
        <v>T1-23</v>
      </c>
    </row>
    <row r="297" spans="1:15" x14ac:dyDescent="0.25">
      <c r="A297" s="8">
        <v>296</v>
      </c>
      <c r="B297" t="s">
        <v>120</v>
      </c>
      <c r="C297" t="s">
        <v>69</v>
      </c>
      <c r="D297" t="s">
        <v>17</v>
      </c>
      <c r="E297" t="s">
        <v>58</v>
      </c>
      <c r="F297" t="s">
        <v>42</v>
      </c>
      <c r="G297" t="s">
        <v>24</v>
      </c>
      <c r="H297">
        <v>11</v>
      </c>
      <c r="I297" s="2">
        <v>3145</v>
      </c>
      <c r="J297">
        <f t="shared" si="8"/>
        <v>34595</v>
      </c>
      <c r="K297" t="str">
        <f>TEXT(Tabla1[[#This Row],[Fecha]],"MMMM")</f>
        <v>May</v>
      </c>
      <c r="L297" t="str">
        <f>TEXT(Tabla1[[#This Row],[Fecha]],"DD")</f>
        <v>17</v>
      </c>
      <c r="M297" t="str">
        <f>TEXT(Tabla1[[#This Row],[Fecha]],"yyyy")</f>
        <v>2025</v>
      </c>
      <c r="N297">
        <f>MONTH(Tabla1[[#This Row],[Fecha]])</f>
        <v>5</v>
      </c>
      <c r="O297" s="2" t="str">
        <f t="shared" si="9"/>
        <v>T2-25</v>
      </c>
    </row>
    <row r="298" spans="1:15" x14ac:dyDescent="0.25">
      <c r="A298" s="8">
        <v>297</v>
      </c>
      <c r="B298" t="s">
        <v>303</v>
      </c>
      <c r="C298" t="s">
        <v>26</v>
      </c>
      <c r="D298" t="s">
        <v>27</v>
      </c>
      <c r="E298" t="s">
        <v>58</v>
      </c>
      <c r="F298" t="s">
        <v>42</v>
      </c>
      <c r="G298" t="s">
        <v>24</v>
      </c>
      <c r="H298">
        <v>24</v>
      </c>
      <c r="I298" s="2">
        <v>3649</v>
      </c>
      <c r="J298">
        <f t="shared" si="8"/>
        <v>87576</v>
      </c>
      <c r="K298" t="str">
        <f>TEXT(Tabla1[[#This Row],[Fecha]],"MMMM")</f>
        <v>February</v>
      </c>
      <c r="L298" t="str">
        <f>TEXT(Tabla1[[#This Row],[Fecha]],"DD")</f>
        <v>14</v>
      </c>
      <c r="M298" t="str">
        <f>TEXT(Tabla1[[#This Row],[Fecha]],"yyyy")</f>
        <v>2025</v>
      </c>
      <c r="N298">
        <f>MONTH(Tabla1[[#This Row],[Fecha]])</f>
        <v>2</v>
      </c>
      <c r="O298" s="2" t="str">
        <f t="shared" si="9"/>
        <v>T1-25</v>
      </c>
    </row>
    <row r="299" spans="1:15" x14ac:dyDescent="0.25">
      <c r="A299" s="8">
        <v>298</v>
      </c>
      <c r="B299" t="s">
        <v>304</v>
      </c>
      <c r="C299" t="s">
        <v>69</v>
      </c>
      <c r="D299" t="s">
        <v>17</v>
      </c>
      <c r="E299" t="s">
        <v>44</v>
      </c>
      <c r="F299" t="s">
        <v>28</v>
      </c>
      <c r="G299" t="s">
        <v>24</v>
      </c>
      <c r="H299">
        <v>21</v>
      </c>
      <c r="I299" s="2">
        <v>1399</v>
      </c>
      <c r="J299">
        <f t="shared" si="8"/>
        <v>29379</v>
      </c>
      <c r="K299" t="str">
        <f>TEXT(Tabla1[[#This Row],[Fecha]],"MMMM")</f>
        <v>August</v>
      </c>
      <c r="L299" t="str">
        <f>TEXT(Tabla1[[#This Row],[Fecha]],"DD")</f>
        <v>11</v>
      </c>
      <c r="M299" t="str">
        <f>TEXT(Tabla1[[#This Row],[Fecha]],"yyyy")</f>
        <v>2024</v>
      </c>
      <c r="N299">
        <f>MONTH(Tabla1[[#This Row],[Fecha]])</f>
        <v>8</v>
      </c>
      <c r="O299" s="2" t="str">
        <f t="shared" si="9"/>
        <v>T3-24</v>
      </c>
    </row>
    <row r="300" spans="1:15" x14ac:dyDescent="0.25">
      <c r="A300" s="8">
        <v>299</v>
      </c>
      <c r="B300" t="s">
        <v>305</v>
      </c>
      <c r="C300" t="s">
        <v>10</v>
      </c>
      <c r="D300" t="s">
        <v>11</v>
      </c>
      <c r="E300" t="s">
        <v>41</v>
      </c>
      <c r="F300" t="s">
        <v>33</v>
      </c>
      <c r="G300" t="s">
        <v>24</v>
      </c>
      <c r="H300">
        <v>12</v>
      </c>
      <c r="I300" s="2">
        <v>4191</v>
      </c>
      <c r="J300">
        <f t="shared" si="8"/>
        <v>50292</v>
      </c>
      <c r="K300" t="str">
        <f>TEXT(Tabla1[[#This Row],[Fecha]],"MMMM")</f>
        <v>August</v>
      </c>
      <c r="L300" t="str">
        <f>TEXT(Tabla1[[#This Row],[Fecha]],"DD")</f>
        <v>27</v>
      </c>
      <c r="M300" t="str">
        <f>TEXT(Tabla1[[#This Row],[Fecha]],"yyyy")</f>
        <v>2023</v>
      </c>
      <c r="N300">
        <f>MONTH(Tabla1[[#This Row],[Fecha]])</f>
        <v>8</v>
      </c>
      <c r="O300" s="2" t="str">
        <f t="shared" si="9"/>
        <v>T3-23</v>
      </c>
    </row>
    <row r="301" spans="1:15" x14ac:dyDescent="0.25">
      <c r="A301" s="8">
        <v>300</v>
      </c>
      <c r="B301" t="s">
        <v>177</v>
      </c>
      <c r="C301" t="s">
        <v>20</v>
      </c>
      <c r="D301" t="s">
        <v>21</v>
      </c>
      <c r="E301" t="s">
        <v>12</v>
      </c>
      <c r="F301" t="s">
        <v>18</v>
      </c>
      <c r="G301" t="s">
        <v>14</v>
      </c>
      <c r="H301">
        <v>4</v>
      </c>
      <c r="I301" s="2">
        <v>4219</v>
      </c>
      <c r="J301">
        <f t="shared" si="8"/>
        <v>16876</v>
      </c>
      <c r="K301" t="str">
        <f>TEXT(Tabla1[[#This Row],[Fecha]],"MMMM")</f>
        <v>November</v>
      </c>
      <c r="L301" t="str">
        <f>TEXT(Tabla1[[#This Row],[Fecha]],"DD")</f>
        <v>05</v>
      </c>
      <c r="M301" t="str">
        <f>TEXT(Tabla1[[#This Row],[Fecha]],"yyyy")</f>
        <v>2023</v>
      </c>
      <c r="N301">
        <f>MONTH(Tabla1[[#This Row],[Fecha]])</f>
        <v>11</v>
      </c>
      <c r="O301" s="2" t="str">
        <f t="shared" si="9"/>
        <v>T4-23</v>
      </c>
    </row>
    <row r="302" spans="1:15" x14ac:dyDescent="0.25">
      <c r="A302" s="8">
        <v>301</v>
      </c>
      <c r="B302" t="s">
        <v>306</v>
      </c>
      <c r="C302" t="s">
        <v>20</v>
      </c>
      <c r="D302" t="s">
        <v>21</v>
      </c>
      <c r="E302" t="s">
        <v>41</v>
      </c>
      <c r="F302" t="s">
        <v>42</v>
      </c>
      <c r="G302" t="s">
        <v>14</v>
      </c>
      <c r="H302">
        <v>21</v>
      </c>
      <c r="I302" s="2">
        <v>3494</v>
      </c>
      <c r="J302">
        <f t="shared" si="8"/>
        <v>73374</v>
      </c>
      <c r="K302" t="str">
        <f>TEXT(Tabla1[[#This Row],[Fecha]],"MMMM")</f>
        <v>June</v>
      </c>
      <c r="L302" t="str">
        <f>TEXT(Tabla1[[#This Row],[Fecha]],"DD")</f>
        <v>16</v>
      </c>
      <c r="M302" t="str">
        <f>TEXT(Tabla1[[#This Row],[Fecha]],"yyyy")</f>
        <v>2023</v>
      </c>
      <c r="N302">
        <f>MONTH(Tabla1[[#This Row],[Fecha]])</f>
        <v>6</v>
      </c>
      <c r="O302" s="2" t="str">
        <f t="shared" si="9"/>
        <v>T2-23</v>
      </c>
    </row>
    <row r="303" spans="1:15" x14ac:dyDescent="0.25">
      <c r="A303" s="8">
        <v>302</v>
      </c>
      <c r="B303" t="s">
        <v>307</v>
      </c>
      <c r="C303" t="s">
        <v>26</v>
      </c>
      <c r="D303" t="s">
        <v>27</v>
      </c>
      <c r="E303" t="s">
        <v>52</v>
      </c>
      <c r="F303" t="s">
        <v>33</v>
      </c>
      <c r="G303" t="s">
        <v>24</v>
      </c>
      <c r="H303">
        <v>22</v>
      </c>
      <c r="I303" s="2">
        <v>3787</v>
      </c>
      <c r="J303">
        <f t="shared" si="8"/>
        <v>83314</v>
      </c>
      <c r="K303" t="str">
        <f>TEXT(Tabla1[[#This Row],[Fecha]],"MMMM")</f>
        <v>January</v>
      </c>
      <c r="L303" t="str">
        <f>TEXT(Tabla1[[#This Row],[Fecha]],"DD")</f>
        <v>07</v>
      </c>
      <c r="M303" t="str">
        <f>TEXT(Tabla1[[#This Row],[Fecha]],"yyyy")</f>
        <v>2023</v>
      </c>
      <c r="N303">
        <f>MONTH(Tabla1[[#This Row],[Fecha]])</f>
        <v>1</v>
      </c>
      <c r="O303" s="2" t="str">
        <f t="shared" si="9"/>
        <v>T1-23</v>
      </c>
    </row>
    <row r="304" spans="1:15" x14ac:dyDescent="0.25">
      <c r="A304" s="8">
        <v>303</v>
      </c>
      <c r="B304" t="s">
        <v>308</v>
      </c>
      <c r="C304" t="s">
        <v>10</v>
      </c>
      <c r="D304" t="s">
        <v>11</v>
      </c>
      <c r="E304" t="s">
        <v>58</v>
      </c>
      <c r="F304" t="s">
        <v>28</v>
      </c>
      <c r="G304" t="s">
        <v>24</v>
      </c>
      <c r="H304">
        <v>7</v>
      </c>
      <c r="I304" s="2">
        <v>893</v>
      </c>
      <c r="J304">
        <f t="shared" si="8"/>
        <v>6251</v>
      </c>
      <c r="K304" t="str">
        <f>TEXT(Tabla1[[#This Row],[Fecha]],"MMMM")</f>
        <v>August</v>
      </c>
      <c r="L304" t="str">
        <f>TEXT(Tabla1[[#This Row],[Fecha]],"DD")</f>
        <v>09</v>
      </c>
      <c r="M304" t="str">
        <f>TEXT(Tabla1[[#This Row],[Fecha]],"yyyy")</f>
        <v>2025</v>
      </c>
      <c r="N304">
        <f>MONTH(Tabla1[[#This Row],[Fecha]])</f>
        <v>8</v>
      </c>
      <c r="O304" s="2" t="str">
        <f t="shared" si="9"/>
        <v>T3-25</v>
      </c>
    </row>
    <row r="305" spans="1:15" x14ac:dyDescent="0.25">
      <c r="A305" s="8">
        <v>304</v>
      </c>
      <c r="B305" t="s">
        <v>309</v>
      </c>
      <c r="C305" t="s">
        <v>16</v>
      </c>
      <c r="D305" t="s">
        <v>17</v>
      </c>
      <c r="E305" t="s">
        <v>12</v>
      </c>
      <c r="F305" t="s">
        <v>35</v>
      </c>
      <c r="G305" t="s">
        <v>24</v>
      </c>
      <c r="H305">
        <v>23</v>
      </c>
      <c r="I305" s="2">
        <v>3624</v>
      </c>
      <c r="J305">
        <f t="shared" si="8"/>
        <v>83352</v>
      </c>
      <c r="K305" t="str">
        <f>TEXT(Tabla1[[#This Row],[Fecha]],"MMMM")</f>
        <v>June</v>
      </c>
      <c r="L305" t="str">
        <f>TEXT(Tabla1[[#This Row],[Fecha]],"DD")</f>
        <v>03</v>
      </c>
      <c r="M305" t="str">
        <f>TEXT(Tabla1[[#This Row],[Fecha]],"yyyy")</f>
        <v>2023</v>
      </c>
      <c r="N305">
        <f>MONTH(Tabla1[[#This Row],[Fecha]])</f>
        <v>6</v>
      </c>
      <c r="O305" s="2" t="str">
        <f t="shared" si="9"/>
        <v>T2-23</v>
      </c>
    </row>
    <row r="306" spans="1:15" x14ac:dyDescent="0.25">
      <c r="A306" s="8">
        <v>305</v>
      </c>
      <c r="B306" t="s">
        <v>310</v>
      </c>
      <c r="C306" t="s">
        <v>26</v>
      </c>
      <c r="D306" t="s">
        <v>27</v>
      </c>
      <c r="E306" t="s">
        <v>44</v>
      </c>
      <c r="F306" t="s">
        <v>33</v>
      </c>
      <c r="G306" t="s">
        <v>24</v>
      </c>
      <c r="H306">
        <v>19</v>
      </c>
      <c r="I306" s="2">
        <v>2064</v>
      </c>
      <c r="J306">
        <f t="shared" si="8"/>
        <v>39216</v>
      </c>
      <c r="K306" t="str">
        <f>TEXT(Tabla1[[#This Row],[Fecha]],"MMMM")</f>
        <v>April</v>
      </c>
      <c r="L306" t="str">
        <f>TEXT(Tabla1[[#This Row],[Fecha]],"DD")</f>
        <v>26</v>
      </c>
      <c r="M306" t="str">
        <f>TEXT(Tabla1[[#This Row],[Fecha]],"yyyy")</f>
        <v>2025</v>
      </c>
      <c r="N306">
        <f>MONTH(Tabla1[[#This Row],[Fecha]])</f>
        <v>4</v>
      </c>
      <c r="O306" s="2" t="str">
        <f t="shared" si="9"/>
        <v>T2-25</v>
      </c>
    </row>
    <row r="307" spans="1:15" x14ac:dyDescent="0.25">
      <c r="A307" s="8">
        <v>306</v>
      </c>
      <c r="B307" t="s">
        <v>311</v>
      </c>
      <c r="C307" t="s">
        <v>30</v>
      </c>
      <c r="D307" t="s">
        <v>17</v>
      </c>
      <c r="E307" t="s">
        <v>41</v>
      </c>
      <c r="F307" t="s">
        <v>23</v>
      </c>
      <c r="G307" t="s">
        <v>24</v>
      </c>
      <c r="H307">
        <v>20</v>
      </c>
      <c r="I307" s="2">
        <v>745</v>
      </c>
      <c r="J307">
        <f t="shared" si="8"/>
        <v>14900</v>
      </c>
      <c r="K307" t="str">
        <f>TEXT(Tabla1[[#This Row],[Fecha]],"MMMM")</f>
        <v>May</v>
      </c>
      <c r="L307" t="str">
        <f>TEXT(Tabla1[[#This Row],[Fecha]],"DD")</f>
        <v>04</v>
      </c>
      <c r="M307" t="str">
        <f>TEXT(Tabla1[[#This Row],[Fecha]],"yyyy")</f>
        <v>2024</v>
      </c>
      <c r="N307">
        <f>MONTH(Tabla1[[#This Row],[Fecha]])</f>
        <v>5</v>
      </c>
      <c r="O307" s="2" t="str">
        <f t="shared" si="9"/>
        <v>T2-24</v>
      </c>
    </row>
    <row r="308" spans="1:15" x14ac:dyDescent="0.25">
      <c r="A308" s="8">
        <v>307</v>
      </c>
      <c r="B308" t="s">
        <v>312</v>
      </c>
      <c r="C308" t="s">
        <v>49</v>
      </c>
      <c r="D308" t="s">
        <v>21</v>
      </c>
      <c r="E308" t="s">
        <v>52</v>
      </c>
      <c r="F308" t="s">
        <v>28</v>
      </c>
      <c r="G308" t="s">
        <v>14</v>
      </c>
      <c r="H308">
        <v>21</v>
      </c>
      <c r="I308" s="2">
        <v>1259</v>
      </c>
      <c r="J308">
        <f t="shared" si="8"/>
        <v>26439</v>
      </c>
      <c r="K308" t="str">
        <f>TEXT(Tabla1[[#This Row],[Fecha]],"MMMM")</f>
        <v>November</v>
      </c>
      <c r="L308" t="str">
        <f>TEXT(Tabla1[[#This Row],[Fecha]],"DD")</f>
        <v>23</v>
      </c>
      <c r="M308" t="str">
        <f>TEXT(Tabla1[[#This Row],[Fecha]],"yyyy")</f>
        <v>2024</v>
      </c>
      <c r="N308">
        <f>MONTH(Tabla1[[#This Row],[Fecha]])</f>
        <v>11</v>
      </c>
      <c r="O308" s="2" t="str">
        <f t="shared" si="9"/>
        <v>T4-24</v>
      </c>
    </row>
    <row r="309" spans="1:15" x14ac:dyDescent="0.25">
      <c r="A309" s="8">
        <v>308</v>
      </c>
      <c r="B309" t="s">
        <v>313</v>
      </c>
      <c r="C309" t="s">
        <v>10</v>
      </c>
      <c r="D309" t="s">
        <v>11</v>
      </c>
      <c r="E309" t="s">
        <v>44</v>
      </c>
      <c r="F309" t="s">
        <v>13</v>
      </c>
      <c r="G309" t="s">
        <v>14</v>
      </c>
      <c r="H309">
        <v>1</v>
      </c>
      <c r="I309" s="2">
        <v>768</v>
      </c>
      <c r="J309">
        <f t="shared" si="8"/>
        <v>768</v>
      </c>
      <c r="K309" t="str">
        <f>TEXT(Tabla1[[#This Row],[Fecha]],"MMMM")</f>
        <v>June</v>
      </c>
      <c r="L309" t="str">
        <f>TEXT(Tabla1[[#This Row],[Fecha]],"DD")</f>
        <v>12</v>
      </c>
      <c r="M309" t="str">
        <f>TEXT(Tabla1[[#This Row],[Fecha]],"yyyy")</f>
        <v>2024</v>
      </c>
      <c r="N309">
        <f>MONTH(Tabla1[[#This Row],[Fecha]])</f>
        <v>6</v>
      </c>
      <c r="O309" s="2" t="str">
        <f t="shared" si="9"/>
        <v>T2-24</v>
      </c>
    </row>
    <row r="310" spans="1:15" x14ac:dyDescent="0.25">
      <c r="A310" s="8">
        <v>309</v>
      </c>
      <c r="B310" t="s">
        <v>314</v>
      </c>
      <c r="C310" t="s">
        <v>46</v>
      </c>
      <c r="D310" t="s">
        <v>38</v>
      </c>
      <c r="E310" t="s">
        <v>61</v>
      </c>
      <c r="F310" t="s">
        <v>33</v>
      </c>
      <c r="G310" t="s">
        <v>14</v>
      </c>
      <c r="H310">
        <v>6</v>
      </c>
      <c r="I310" s="2">
        <v>4333</v>
      </c>
      <c r="J310">
        <f t="shared" si="8"/>
        <v>25998</v>
      </c>
      <c r="K310" t="str">
        <f>TEXT(Tabla1[[#This Row],[Fecha]],"MMMM")</f>
        <v>August</v>
      </c>
      <c r="L310" t="str">
        <f>TEXT(Tabla1[[#This Row],[Fecha]],"DD")</f>
        <v>07</v>
      </c>
      <c r="M310" t="str">
        <f>TEXT(Tabla1[[#This Row],[Fecha]],"yyyy")</f>
        <v>2023</v>
      </c>
      <c r="N310">
        <f>MONTH(Tabla1[[#This Row],[Fecha]])</f>
        <v>8</v>
      </c>
      <c r="O310" s="2" t="str">
        <f t="shared" si="9"/>
        <v>T3-23</v>
      </c>
    </row>
    <row r="311" spans="1:15" x14ac:dyDescent="0.25">
      <c r="A311" s="8">
        <v>310</v>
      </c>
      <c r="B311" t="s">
        <v>315</v>
      </c>
      <c r="C311" t="s">
        <v>69</v>
      </c>
      <c r="D311" t="s">
        <v>17</v>
      </c>
      <c r="E311" t="s">
        <v>41</v>
      </c>
      <c r="F311" t="s">
        <v>42</v>
      </c>
      <c r="G311" t="s">
        <v>14</v>
      </c>
      <c r="H311">
        <v>1</v>
      </c>
      <c r="I311" s="2">
        <v>339</v>
      </c>
      <c r="J311">
        <f t="shared" si="8"/>
        <v>339</v>
      </c>
      <c r="K311" t="str">
        <f>TEXT(Tabla1[[#This Row],[Fecha]],"MMMM")</f>
        <v>August</v>
      </c>
      <c r="L311" t="str">
        <f>TEXT(Tabla1[[#This Row],[Fecha]],"DD")</f>
        <v>03</v>
      </c>
      <c r="M311" t="str">
        <f>TEXT(Tabla1[[#This Row],[Fecha]],"yyyy")</f>
        <v>2023</v>
      </c>
      <c r="N311">
        <f>MONTH(Tabla1[[#This Row],[Fecha]])</f>
        <v>8</v>
      </c>
      <c r="O311" s="2" t="str">
        <f t="shared" si="9"/>
        <v>T3-23</v>
      </c>
    </row>
    <row r="312" spans="1:15" x14ac:dyDescent="0.25">
      <c r="A312" s="8">
        <v>311</v>
      </c>
      <c r="B312" t="s">
        <v>316</v>
      </c>
      <c r="C312" t="s">
        <v>46</v>
      </c>
      <c r="D312" t="s">
        <v>38</v>
      </c>
      <c r="E312" t="s">
        <v>61</v>
      </c>
      <c r="F312" t="s">
        <v>42</v>
      </c>
      <c r="G312" t="s">
        <v>24</v>
      </c>
      <c r="H312">
        <v>21</v>
      </c>
      <c r="I312" s="2">
        <v>3413</v>
      </c>
      <c r="J312">
        <f t="shared" si="8"/>
        <v>71673</v>
      </c>
      <c r="K312" t="str">
        <f>TEXT(Tabla1[[#This Row],[Fecha]],"MMMM")</f>
        <v>March</v>
      </c>
      <c r="L312" t="str">
        <f>TEXT(Tabla1[[#This Row],[Fecha]],"DD")</f>
        <v>22</v>
      </c>
      <c r="M312" t="str">
        <f>TEXT(Tabla1[[#This Row],[Fecha]],"yyyy")</f>
        <v>2023</v>
      </c>
      <c r="N312">
        <f>MONTH(Tabla1[[#This Row],[Fecha]])</f>
        <v>3</v>
      </c>
      <c r="O312" s="2" t="str">
        <f t="shared" si="9"/>
        <v>T1-23</v>
      </c>
    </row>
    <row r="313" spans="1:15" x14ac:dyDescent="0.25">
      <c r="A313" s="8">
        <v>312</v>
      </c>
      <c r="B313" t="s">
        <v>317</v>
      </c>
      <c r="C313" t="s">
        <v>10</v>
      </c>
      <c r="D313" t="s">
        <v>11</v>
      </c>
      <c r="E313" t="s">
        <v>72</v>
      </c>
      <c r="F313" t="s">
        <v>33</v>
      </c>
      <c r="G313" t="s">
        <v>24</v>
      </c>
      <c r="H313">
        <v>24</v>
      </c>
      <c r="I313" s="2">
        <v>3395</v>
      </c>
      <c r="J313">
        <f t="shared" si="8"/>
        <v>81480</v>
      </c>
      <c r="K313" t="str">
        <f>TEXT(Tabla1[[#This Row],[Fecha]],"MMMM")</f>
        <v>June</v>
      </c>
      <c r="L313" t="str">
        <f>TEXT(Tabla1[[#This Row],[Fecha]],"DD")</f>
        <v>10</v>
      </c>
      <c r="M313" t="str">
        <f>TEXT(Tabla1[[#This Row],[Fecha]],"yyyy")</f>
        <v>2025</v>
      </c>
      <c r="N313">
        <f>MONTH(Tabla1[[#This Row],[Fecha]])</f>
        <v>6</v>
      </c>
      <c r="O313" s="2" t="str">
        <f t="shared" si="9"/>
        <v>T2-25</v>
      </c>
    </row>
    <row r="314" spans="1:15" x14ac:dyDescent="0.25">
      <c r="A314" s="8">
        <v>313</v>
      </c>
      <c r="B314" t="s">
        <v>318</v>
      </c>
      <c r="C314" t="s">
        <v>49</v>
      </c>
      <c r="D314" t="s">
        <v>21</v>
      </c>
      <c r="E314" t="s">
        <v>44</v>
      </c>
      <c r="F314" t="s">
        <v>23</v>
      </c>
      <c r="G314" t="s">
        <v>24</v>
      </c>
      <c r="H314">
        <v>12</v>
      </c>
      <c r="I314" s="2">
        <v>4771</v>
      </c>
      <c r="J314">
        <f t="shared" si="8"/>
        <v>57252</v>
      </c>
      <c r="K314" t="str">
        <f>TEXT(Tabla1[[#This Row],[Fecha]],"MMMM")</f>
        <v>May</v>
      </c>
      <c r="L314" t="str">
        <f>TEXT(Tabla1[[#This Row],[Fecha]],"DD")</f>
        <v>12</v>
      </c>
      <c r="M314" t="str">
        <f>TEXT(Tabla1[[#This Row],[Fecha]],"yyyy")</f>
        <v>2023</v>
      </c>
      <c r="N314">
        <f>MONTH(Tabla1[[#This Row],[Fecha]])</f>
        <v>5</v>
      </c>
      <c r="O314" s="2" t="str">
        <f t="shared" si="9"/>
        <v>T2-23</v>
      </c>
    </row>
    <row r="315" spans="1:15" x14ac:dyDescent="0.25">
      <c r="A315" s="8">
        <v>314</v>
      </c>
      <c r="B315" t="s">
        <v>319</v>
      </c>
      <c r="C315" t="s">
        <v>10</v>
      </c>
      <c r="D315" t="s">
        <v>11</v>
      </c>
      <c r="E315" t="s">
        <v>58</v>
      </c>
      <c r="F315" t="s">
        <v>28</v>
      </c>
      <c r="G315" t="s">
        <v>14</v>
      </c>
      <c r="H315">
        <v>6</v>
      </c>
      <c r="I315" s="2">
        <v>4094</v>
      </c>
      <c r="J315">
        <f t="shared" si="8"/>
        <v>24564</v>
      </c>
      <c r="K315" t="str">
        <f>TEXT(Tabla1[[#This Row],[Fecha]],"MMMM")</f>
        <v>October</v>
      </c>
      <c r="L315" t="str">
        <f>TEXT(Tabla1[[#This Row],[Fecha]],"DD")</f>
        <v>30</v>
      </c>
      <c r="M315" t="str">
        <f>TEXT(Tabla1[[#This Row],[Fecha]],"yyyy")</f>
        <v>2025</v>
      </c>
      <c r="N315">
        <f>MONTH(Tabla1[[#This Row],[Fecha]])</f>
        <v>10</v>
      </c>
      <c r="O315" s="2" t="str">
        <f t="shared" si="9"/>
        <v>T4-25</v>
      </c>
    </row>
    <row r="316" spans="1:15" x14ac:dyDescent="0.25">
      <c r="A316" s="8">
        <v>315</v>
      </c>
      <c r="B316" t="s">
        <v>320</v>
      </c>
      <c r="C316" t="s">
        <v>46</v>
      </c>
      <c r="D316" t="s">
        <v>38</v>
      </c>
      <c r="E316" t="s">
        <v>44</v>
      </c>
      <c r="F316" t="s">
        <v>28</v>
      </c>
      <c r="G316" t="s">
        <v>24</v>
      </c>
      <c r="H316">
        <v>12</v>
      </c>
      <c r="I316" s="2">
        <v>718</v>
      </c>
      <c r="J316">
        <f t="shared" si="8"/>
        <v>8616</v>
      </c>
      <c r="K316" t="str">
        <f>TEXT(Tabla1[[#This Row],[Fecha]],"MMMM")</f>
        <v>September</v>
      </c>
      <c r="L316" t="str">
        <f>TEXT(Tabla1[[#This Row],[Fecha]],"DD")</f>
        <v>25</v>
      </c>
      <c r="M316" t="str">
        <f>TEXT(Tabla1[[#This Row],[Fecha]],"yyyy")</f>
        <v>2025</v>
      </c>
      <c r="N316">
        <f>MONTH(Tabla1[[#This Row],[Fecha]])</f>
        <v>9</v>
      </c>
      <c r="O316" s="2" t="str">
        <f t="shared" si="9"/>
        <v>T3-25</v>
      </c>
    </row>
    <row r="317" spans="1:15" x14ac:dyDescent="0.25">
      <c r="A317" s="8">
        <v>316</v>
      </c>
      <c r="B317" t="s">
        <v>321</v>
      </c>
      <c r="C317" t="s">
        <v>16</v>
      </c>
      <c r="D317" t="s">
        <v>17</v>
      </c>
      <c r="E317" t="s">
        <v>58</v>
      </c>
      <c r="F317" t="s">
        <v>33</v>
      </c>
      <c r="G317" t="s">
        <v>14</v>
      </c>
      <c r="H317">
        <v>9</v>
      </c>
      <c r="I317" s="2">
        <v>4365</v>
      </c>
      <c r="J317">
        <f t="shared" si="8"/>
        <v>39285</v>
      </c>
      <c r="K317" t="str">
        <f>TEXT(Tabla1[[#This Row],[Fecha]],"MMMM")</f>
        <v>July</v>
      </c>
      <c r="L317" t="str">
        <f>TEXT(Tabla1[[#This Row],[Fecha]],"DD")</f>
        <v>08</v>
      </c>
      <c r="M317" t="str">
        <f>TEXT(Tabla1[[#This Row],[Fecha]],"yyyy")</f>
        <v>2024</v>
      </c>
      <c r="N317">
        <f>MONTH(Tabla1[[#This Row],[Fecha]])</f>
        <v>7</v>
      </c>
      <c r="O317" s="2" t="str">
        <f t="shared" si="9"/>
        <v>T3-24</v>
      </c>
    </row>
    <row r="318" spans="1:15" x14ac:dyDescent="0.25">
      <c r="A318" s="8">
        <v>317</v>
      </c>
      <c r="B318" t="s">
        <v>322</v>
      </c>
      <c r="C318" t="s">
        <v>69</v>
      </c>
      <c r="D318" t="s">
        <v>17</v>
      </c>
      <c r="E318" t="s">
        <v>52</v>
      </c>
      <c r="F318" t="s">
        <v>28</v>
      </c>
      <c r="G318" t="s">
        <v>24</v>
      </c>
      <c r="H318">
        <v>21</v>
      </c>
      <c r="I318" s="2">
        <v>704</v>
      </c>
      <c r="J318">
        <f t="shared" si="8"/>
        <v>14784</v>
      </c>
      <c r="K318" t="str">
        <f>TEXT(Tabla1[[#This Row],[Fecha]],"MMMM")</f>
        <v>May</v>
      </c>
      <c r="L318" t="str">
        <f>TEXT(Tabla1[[#This Row],[Fecha]],"DD")</f>
        <v>07</v>
      </c>
      <c r="M318" t="str">
        <f>TEXT(Tabla1[[#This Row],[Fecha]],"yyyy")</f>
        <v>2023</v>
      </c>
      <c r="N318">
        <f>MONTH(Tabla1[[#This Row],[Fecha]])</f>
        <v>5</v>
      </c>
      <c r="O318" s="2" t="str">
        <f t="shared" si="9"/>
        <v>T2-23</v>
      </c>
    </row>
    <row r="319" spans="1:15" x14ac:dyDescent="0.25">
      <c r="A319" s="8">
        <v>318</v>
      </c>
      <c r="B319" t="s">
        <v>323</v>
      </c>
      <c r="C319" t="s">
        <v>30</v>
      </c>
      <c r="D319" t="s">
        <v>17</v>
      </c>
      <c r="E319" t="s">
        <v>52</v>
      </c>
      <c r="F319" t="s">
        <v>18</v>
      </c>
      <c r="G319" t="s">
        <v>14</v>
      </c>
      <c r="H319">
        <v>7</v>
      </c>
      <c r="I319" s="2">
        <v>1531</v>
      </c>
      <c r="J319">
        <f t="shared" si="8"/>
        <v>10717</v>
      </c>
      <c r="K319" t="str">
        <f>TEXT(Tabla1[[#This Row],[Fecha]],"MMMM")</f>
        <v>May</v>
      </c>
      <c r="L319" t="str">
        <f>TEXT(Tabla1[[#This Row],[Fecha]],"DD")</f>
        <v>02</v>
      </c>
      <c r="M319" t="str">
        <f>TEXT(Tabla1[[#This Row],[Fecha]],"yyyy")</f>
        <v>2025</v>
      </c>
      <c r="N319">
        <f>MONTH(Tabla1[[#This Row],[Fecha]])</f>
        <v>5</v>
      </c>
      <c r="O319" s="2" t="str">
        <f t="shared" si="9"/>
        <v>T2-25</v>
      </c>
    </row>
    <row r="320" spans="1:15" x14ac:dyDescent="0.25">
      <c r="A320" s="8">
        <v>319</v>
      </c>
      <c r="B320" t="s">
        <v>117</v>
      </c>
      <c r="C320" t="s">
        <v>69</v>
      </c>
      <c r="D320" t="s">
        <v>17</v>
      </c>
      <c r="E320" t="s">
        <v>72</v>
      </c>
      <c r="F320" t="s">
        <v>18</v>
      </c>
      <c r="G320" t="s">
        <v>24</v>
      </c>
      <c r="H320">
        <v>20</v>
      </c>
      <c r="I320" s="2">
        <v>1600</v>
      </c>
      <c r="J320">
        <f t="shared" si="8"/>
        <v>32000</v>
      </c>
      <c r="K320" t="str">
        <f>TEXT(Tabla1[[#This Row],[Fecha]],"MMMM")</f>
        <v>December</v>
      </c>
      <c r="L320" t="str">
        <f>TEXT(Tabla1[[#This Row],[Fecha]],"DD")</f>
        <v>12</v>
      </c>
      <c r="M320" t="str">
        <f>TEXT(Tabla1[[#This Row],[Fecha]],"yyyy")</f>
        <v>2023</v>
      </c>
      <c r="N320">
        <f>MONTH(Tabla1[[#This Row],[Fecha]])</f>
        <v>12</v>
      </c>
      <c r="O320" s="2" t="str">
        <f t="shared" si="9"/>
        <v>T4-23</v>
      </c>
    </row>
    <row r="321" spans="1:15" x14ac:dyDescent="0.25">
      <c r="A321" s="8">
        <v>320</v>
      </c>
      <c r="B321" t="s">
        <v>324</v>
      </c>
      <c r="C321" t="s">
        <v>66</v>
      </c>
      <c r="D321" t="s">
        <v>17</v>
      </c>
      <c r="E321" t="s">
        <v>52</v>
      </c>
      <c r="F321" t="s">
        <v>33</v>
      </c>
      <c r="G321" t="s">
        <v>14</v>
      </c>
      <c r="H321">
        <v>9</v>
      </c>
      <c r="I321" s="2">
        <v>4440</v>
      </c>
      <c r="J321">
        <f t="shared" si="8"/>
        <v>39960</v>
      </c>
      <c r="K321" t="str">
        <f>TEXT(Tabla1[[#This Row],[Fecha]],"MMMM")</f>
        <v>January</v>
      </c>
      <c r="L321" t="str">
        <f>TEXT(Tabla1[[#This Row],[Fecha]],"DD")</f>
        <v>25</v>
      </c>
      <c r="M321" t="str">
        <f>TEXT(Tabla1[[#This Row],[Fecha]],"yyyy")</f>
        <v>2025</v>
      </c>
      <c r="N321">
        <f>MONTH(Tabla1[[#This Row],[Fecha]])</f>
        <v>1</v>
      </c>
      <c r="O321" s="2" t="str">
        <f t="shared" si="9"/>
        <v>T1-25</v>
      </c>
    </row>
    <row r="322" spans="1:15" x14ac:dyDescent="0.25">
      <c r="A322" s="8">
        <v>321</v>
      </c>
      <c r="B322" t="s">
        <v>228</v>
      </c>
      <c r="C322" t="s">
        <v>20</v>
      </c>
      <c r="D322" t="s">
        <v>21</v>
      </c>
      <c r="E322" t="s">
        <v>50</v>
      </c>
      <c r="F322" t="s">
        <v>42</v>
      </c>
      <c r="G322" t="s">
        <v>24</v>
      </c>
      <c r="H322">
        <v>17</v>
      </c>
      <c r="I322" s="2">
        <v>4143</v>
      </c>
      <c r="J322">
        <f t="shared" ref="J322:J385" si="10">I322*H322</f>
        <v>70431</v>
      </c>
      <c r="K322" t="str">
        <f>TEXT(Tabla1[[#This Row],[Fecha]],"MMMM")</f>
        <v>July</v>
      </c>
      <c r="L322" t="str">
        <f>TEXT(Tabla1[[#This Row],[Fecha]],"DD")</f>
        <v>23</v>
      </c>
      <c r="M322" t="str">
        <f>TEXT(Tabla1[[#This Row],[Fecha]],"yyyy")</f>
        <v>2024</v>
      </c>
      <c r="N322">
        <f>MONTH(Tabla1[[#This Row],[Fecha]])</f>
        <v>7</v>
      </c>
      <c r="O322" s="2" t="str">
        <f t="shared" ref="O322:O385" si="11">"T"&amp;ROUNDUP(MONTH(B322)/3,0)&amp;"-"&amp;RIGHT(YEAR(B322),2)</f>
        <v>T3-24</v>
      </c>
    </row>
    <row r="323" spans="1:15" x14ac:dyDescent="0.25">
      <c r="A323" s="8">
        <v>322</v>
      </c>
      <c r="B323" t="s">
        <v>325</v>
      </c>
      <c r="C323" t="s">
        <v>26</v>
      </c>
      <c r="D323" t="s">
        <v>27</v>
      </c>
      <c r="E323" t="s">
        <v>50</v>
      </c>
      <c r="F323" t="s">
        <v>28</v>
      </c>
      <c r="G323" t="s">
        <v>14</v>
      </c>
      <c r="H323">
        <v>5</v>
      </c>
      <c r="I323" s="2">
        <v>2535</v>
      </c>
      <c r="J323">
        <f t="shared" si="10"/>
        <v>12675</v>
      </c>
      <c r="K323" t="str">
        <f>TEXT(Tabla1[[#This Row],[Fecha]],"MMMM")</f>
        <v>February</v>
      </c>
      <c r="L323" t="str">
        <f>TEXT(Tabla1[[#This Row],[Fecha]],"DD")</f>
        <v>10</v>
      </c>
      <c r="M323" t="str">
        <f>TEXT(Tabla1[[#This Row],[Fecha]],"yyyy")</f>
        <v>2024</v>
      </c>
      <c r="N323">
        <f>MONTH(Tabla1[[#This Row],[Fecha]])</f>
        <v>2</v>
      </c>
      <c r="O323" s="2" t="str">
        <f t="shared" si="11"/>
        <v>T1-24</v>
      </c>
    </row>
    <row r="324" spans="1:15" x14ac:dyDescent="0.25">
      <c r="A324" s="8">
        <v>323</v>
      </c>
      <c r="B324" t="s">
        <v>326</v>
      </c>
      <c r="C324" t="s">
        <v>16</v>
      </c>
      <c r="D324" t="s">
        <v>17</v>
      </c>
      <c r="E324" t="s">
        <v>32</v>
      </c>
      <c r="F324" t="s">
        <v>33</v>
      </c>
      <c r="G324" t="s">
        <v>14</v>
      </c>
      <c r="H324">
        <v>6</v>
      </c>
      <c r="I324" s="2">
        <v>329</v>
      </c>
      <c r="J324">
        <f t="shared" si="10"/>
        <v>1974</v>
      </c>
      <c r="K324" t="str">
        <f>TEXT(Tabla1[[#This Row],[Fecha]],"MMMM")</f>
        <v>November</v>
      </c>
      <c r="L324" t="str">
        <f>TEXT(Tabla1[[#This Row],[Fecha]],"DD")</f>
        <v>29</v>
      </c>
      <c r="M324" t="str">
        <f>TEXT(Tabla1[[#This Row],[Fecha]],"yyyy")</f>
        <v>2023</v>
      </c>
      <c r="N324">
        <f>MONTH(Tabla1[[#This Row],[Fecha]])</f>
        <v>11</v>
      </c>
      <c r="O324" s="2" t="str">
        <f t="shared" si="11"/>
        <v>T4-23</v>
      </c>
    </row>
    <row r="325" spans="1:15" x14ac:dyDescent="0.25">
      <c r="A325" s="8">
        <v>324</v>
      </c>
      <c r="B325" t="s">
        <v>327</v>
      </c>
      <c r="C325" t="s">
        <v>46</v>
      </c>
      <c r="D325" t="s">
        <v>38</v>
      </c>
      <c r="E325" t="s">
        <v>61</v>
      </c>
      <c r="F325" t="s">
        <v>42</v>
      </c>
      <c r="G325" t="s">
        <v>24</v>
      </c>
      <c r="H325">
        <v>8</v>
      </c>
      <c r="I325" s="2">
        <v>3217</v>
      </c>
      <c r="J325">
        <f t="shared" si="10"/>
        <v>25736</v>
      </c>
      <c r="K325" t="str">
        <f>TEXT(Tabla1[[#This Row],[Fecha]],"MMMM")</f>
        <v>October</v>
      </c>
      <c r="L325" t="str">
        <f>TEXT(Tabla1[[#This Row],[Fecha]],"DD")</f>
        <v>01</v>
      </c>
      <c r="M325" t="str">
        <f>TEXT(Tabla1[[#This Row],[Fecha]],"yyyy")</f>
        <v>2023</v>
      </c>
      <c r="N325">
        <f>MONTH(Tabla1[[#This Row],[Fecha]])</f>
        <v>10</v>
      </c>
      <c r="O325" s="2" t="str">
        <f t="shared" si="11"/>
        <v>T4-23</v>
      </c>
    </row>
    <row r="326" spans="1:15" x14ac:dyDescent="0.25">
      <c r="A326" s="8">
        <v>325</v>
      </c>
      <c r="B326" t="s">
        <v>328</v>
      </c>
      <c r="C326" t="s">
        <v>10</v>
      </c>
      <c r="D326" t="s">
        <v>11</v>
      </c>
      <c r="E326" t="s">
        <v>52</v>
      </c>
      <c r="F326" t="s">
        <v>23</v>
      </c>
      <c r="G326" t="s">
        <v>24</v>
      </c>
      <c r="H326">
        <v>25</v>
      </c>
      <c r="I326" s="2">
        <v>1962</v>
      </c>
      <c r="J326">
        <f t="shared" si="10"/>
        <v>49050</v>
      </c>
      <c r="K326" t="str">
        <f>TEXT(Tabla1[[#This Row],[Fecha]],"MMMM")</f>
        <v>January</v>
      </c>
      <c r="L326" t="str">
        <f>TEXT(Tabla1[[#This Row],[Fecha]],"DD")</f>
        <v>01</v>
      </c>
      <c r="M326" t="str">
        <f>TEXT(Tabla1[[#This Row],[Fecha]],"yyyy")</f>
        <v>2024</v>
      </c>
      <c r="N326">
        <f>MONTH(Tabla1[[#This Row],[Fecha]])</f>
        <v>1</v>
      </c>
      <c r="O326" s="2" t="str">
        <f t="shared" si="11"/>
        <v>T1-24</v>
      </c>
    </row>
    <row r="327" spans="1:15" x14ac:dyDescent="0.25">
      <c r="A327" s="8">
        <v>326</v>
      </c>
      <c r="B327" t="s">
        <v>329</v>
      </c>
      <c r="C327" t="s">
        <v>20</v>
      </c>
      <c r="D327" t="s">
        <v>21</v>
      </c>
      <c r="E327" t="s">
        <v>72</v>
      </c>
      <c r="F327" t="s">
        <v>13</v>
      </c>
      <c r="G327" t="s">
        <v>14</v>
      </c>
      <c r="H327">
        <v>25</v>
      </c>
      <c r="I327" s="2">
        <v>143</v>
      </c>
      <c r="J327">
        <f t="shared" si="10"/>
        <v>3575</v>
      </c>
      <c r="K327" t="str">
        <f>TEXT(Tabla1[[#This Row],[Fecha]],"MMMM")</f>
        <v>November</v>
      </c>
      <c r="L327" t="str">
        <f>TEXT(Tabla1[[#This Row],[Fecha]],"DD")</f>
        <v>13</v>
      </c>
      <c r="M327" t="str">
        <f>TEXT(Tabla1[[#This Row],[Fecha]],"yyyy")</f>
        <v>2024</v>
      </c>
      <c r="N327">
        <f>MONTH(Tabla1[[#This Row],[Fecha]])</f>
        <v>11</v>
      </c>
      <c r="O327" s="2" t="str">
        <f t="shared" si="11"/>
        <v>T4-24</v>
      </c>
    </row>
    <row r="328" spans="1:15" x14ac:dyDescent="0.25">
      <c r="A328" s="8">
        <v>327</v>
      </c>
      <c r="B328" t="s">
        <v>297</v>
      </c>
      <c r="C328" t="s">
        <v>37</v>
      </c>
      <c r="D328" t="s">
        <v>38</v>
      </c>
      <c r="E328" t="s">
        <v>50</v>
      </c>
      <c r="F328" t="s">
        <v>28</v>
      </c>
      <c r="G328" t="s">
        <v>24</v>
      </c>
      <c r="H328">
        <v>5</v>
      </c>
      <c r="I328" s="2">
        <v>325</v>
      </c>
      <c r="J328">
        <f t="shared" si="10"/>
        <v>1625</v>
      </c>
      <c r="K328" t="str">
        <f>TEXT(Tabla1[[#This Row],[Fecha]],"MMMM")</f>
        <v>August</v>
      </c>
      <c r="L328" t="str">
        <f>TEXT(Tabla1[[#This Row],[Fecha]],"DD")</f>
        <v>20</v>
      </c>
      <c r="M328" t="str">
        <f>TEXT(Tabla1[[#This Row],[Fecha]],"yyyy")</f>
        <v>2025</v>
      </c>
      <c r="N328">
        <f>MONTH(Tabla1[[#This Row],[Fecha]])</f>
        <v>8</v>
      </c>
      <c r="O328" s="2" t="str">
        <f t="shared" si="11"/>
        <v>T3-25</v>
      </c>
    </row>
    <row r="329" spans="1:15" x14ac:dyDescent="0.25">
      <c r="A329" s="8">
        <v>328</v>
      </c>
      <c r="B329" t="s">
        <v>51</v>
      </c>
      <c r="C329" t="s">
        <v>66</v>
      </c>
      <c r="D329" t="s">
        <v>17</v>
      </c>
      <c r="E329" t="s">
        <v>61</v>
      </c>
      <c r="F329" t="s">
        <v>18</v>
      </c>
      <c r="G329" t="s">
        <v>14</v>
      </c>
      <c r="H329">
        <v>14</v>
      </c>
      <c r="I329" s="2">
        <v>4284</v>
      </c>
      <c r="J329">
        <f t="shared" si="10"/>
        <v>59976</v>
      </c>
      <c r="K329" t="str">
        <f>TEXT(Tabla1[[#This Row],[Fecha]],"MMMM")</f>
        <v>January</v>
      </c>
      <c r="L329" t="str">
        <f>TEXT(Tabla1[[#This Row],[Fecha]],"DD")</f>
        <v>13</v>
      </c>
      <c r="M329" t="str">
        <f>TEXT(Tabla1[[#This Row],[Fecha]],"yyyy")</f>
        <v>2025</v>
      </c>
      <c r="N329">
        <f>MONTH(Tabla1[[#This Row],[Fecha]])</f>
        <v>1</v>
      </c>
      <c r="O329" s="2" t="str">
        <f t="shared" si="11"/>
        <v>T1-25</v>
      </c>
    </row>
    <row r="330" spans="1:15" x14ac:dyDescent="0.25">
      <c r="A330" s="8">
        <v>329</v>
      </c>
      <c r="B330" t="s">
        <v>330</v>
      </c>
      <c r="C330" t="s">
        <v>69</v>
      </c>
      <c r="D330" t="s">
        <v>17</v>
      </c>
      <c r="E330" t="s">
        <v>50</v>
      </c>
      <c r="F330" t="s">
        <v>28</v>
      </c>
      <c r="G330" t="s">
        <v>24</v>
      </c>
      <c r="H330">
        <v>13</v>
      </c>
      <c r="I330" s="2">
        <v>2847</v>
      </c>
      <c r="J330">
        <f t="shared" si="10"/>
        <v>37011</v>
      </c>
      <c r="K330" t="str">
        <f>TEXT(Tabla1[[#This Row],[Fecha]],"MMMM")</f>
        <v>August</v>
      </c>
      <c r="L330" t="str">
        <f>TEXT(Tabla1[[#This Row],[Fecha]],"DD")</f>
        <v>23</v>
      </c>
      <c r="M330" t="str">
        <f>TEXT(Tabla1[[#This Row],[Fecha]],"yyyy")</f>
        <v>2025</v>
      </c>
      <c r="N330">
        <f>MONTH(Tabla1[[#This Row],[Fecha]])</f>
        <v>8</v>
      </c>
      <c r="O330" s="2" t="str">
        <f t="shared" si="11"/>
        <v>T3-25</v>
      </c>
    </row>
    <row r="331" spans="1:15" x14ac:dyDescent="0.25">
      <c r="A331" s="8">
        <v>330</v>
      </c>
      <c r="B331" t="s">
        <v>331</v>
      </c>
      <c r="C331" t="s">
        <v>30</v>
      </c>
      <c r="D331" t="s">
        <v>17</v>
      </c>
      <c r="E331" t="s">
        <v>22</v>
      </c>
      <c r="F331" t="s">
        <v>13</v>
      </c>
      <c r="G331" t="s">
        <v>14</v>
      </c>
      <c r="H331">
        <v>14</v>
      </c>
      <c r="I331" s="2">
        <v>2524</v>
      </c>
      <c r="J331">
        <f t="shared" si="10"/>
        <v>35336</v>
      </c>
      <c r="K331" t="str">
        <f>TEXT(Tabla1[[#This Row],[Fecha]],"MMMM")</f>
        <v>April</v>
      </c>
      <c r="L331" t="str">
        <f>TEXT(Tabla1[[#This Row],[Fecha]],"DD")</f>
        <v>19</v>
      </c>
      <c r="M331" t="str">
        <f>TEXT(Tabla1[[#This Row],[Fecha]],"yyyy")</f>
        <v>2024</v>
      </c>
      <c r="N331">
        <f>MONTH(Tabla1[[#This Row],[Fecha]])</f>
        <v>4</v>
      </c>
      <c r="O331" s="2" t="str">
        <f t="shared" si="11"/>
        <v>T2-24</v>
      </c>
    </row>
    <row r="332" spans="1:15" x14ac:dyDescent="0.25">
      <c r="A332" s="8">
        <v>331</v>
      </c>
      <c r="B332" t="s">
        <v>332</v>
      </c>
      <c r="C332" t="s">
        <v>30</v>
      </c>
      <c r="D332" t="s">
        <v>17</v>
      </c>
      <c r="E332" t="s">
        <v>32</v>
      </c>
      <c r="F332" t="s">
        <v>28</v>
      </c>
      <c r="G332" t="s">
        <v>14</v>
      </c>
      <c r="H332">
        <v>23</v>
      </c>
      <c r="I332" s="2">
        <v>2196</v>
      </c>
      <c r="J332">
        <f t="shared" si="10"/>
        <v>50508</v>
      </c>
      <c r="K332" t="str">
        <f>TEXT(Tabla1[[#This Row],[Fecha]],"MMMM")</f>
        <v>September</v>
      </c>
      <c r="L332" t="str">
        <f>TEXT(Tabla1[[#This Row],[Fecha]],"DD")</f>
        <v>08</v>
      </c>
      <c r="M332" t="str">
        <f>TEXT(Tabla1[[#This Row],[Fecha]],"yyyy")</f>
        <v>2025</v>
      </c>
      <c r="N332">
        <f>MONTH(Tabla1[[#This Row],[Fecha]])</f>
        <v>9</v>
      </c>
      <c r="O332" s="2" t="str">
        <f t="shared" si="11"/>
        <v>T3-25</v>
      </c>
    </row>
    <row r="333" spans="1:15" x14ac:dyDescent="0.25">
      <c r="A333" s="8">
        <v>332</v>
      </c>
      <c r="B333" t="s">
        <v>333</v>
      </c>
      <c r="C333" t="s">
        <v>37</v>
      </c>
      <c r="D333" t="s">
        <v>38</v>
      </c>
      <c r="E333" t="s">
        <v>22</v>
      </c>
      <c r="F333" t="s">
        <v>35</v>
      </c>
      <c r="G333" t="s">
        <v>24</v>
      </c>
      <c r="H333">
        <v>25</v>
      </c>
      <c r="I333" s="2">
        <v>4575</v>
      </c>
      <c r="J333">
        <f t="shared" si="10"/>
        <v>114375</v>
      </c>
      <c r="K333" t="str">
        <f>TEXT(Tabla1[[#This Row],[Fecha]],"MMMM")</f>
        <v>August</v>
      </c>
      <c r="L333" t="str">
        <f>TEXT(Tabla1[[#This Row],[Fecha]],"DD")</f>
        <v>04</v>
      </c>
      <c r="M333" t="str">
        <f>TEXT(Tabla1[[#This Row],[Fecha]],"yyyy")</f>
        <v>2023</v>
      </c>
      <c r="N333">
        <f>MONTH(Tabla1[[#This Row],[Fecha]])</f>
        <v>8</v>
      </c>
      <c r="O333" s="2" t="str">
        <f t="shared" si="11"/>
        <v>T3-23</v>
      </c>
    </row>
    <row r="334" spans="1:15" x14ac:dyDescent="0.25">
      <c r="A334" s="8">
        <v>333</v>
      </c>
      <c r="B334" t="s">
        <v>334</v>
      </c>
      <c r="C334" t="s">
        <v>69</v>
      </c>
      <c r="D334" t="s">
        <v>17</v>
      </c>
      <c r="E334" t="s">
        <v>22</v>
      </c>
      <c r="F334" t="s">
        <v>35</v>
      </c>
      <c r="G334" t="s">
        <v>24</v>
      </c>
      <c r="H334">
        <v>17</v>
      </c>
      <c r="I334" s="2">
        <v>402</v>
      </c>
      <c r="J334">
        <f t="shared" si="10"/>
        <v>6834</v>
      </c>
      <c r="K334" t="str">
        <f>TEXT(Tabla1[[#This Row],[Fecha]],"MMMM")</f>
        <v>December</v>
      </c>
      <c r="L334" t="str">
        <f>TEXT(Tabla1[[#This Row],[Fecha]],"DD")</f>
        <v>29</v>
      </c>
      <c r="M334" t="str">
        <f>TEXT(Tabla1[[#This Row],[Fecha]],"yyyy")</f>
        <v>2023</v>
      </c>
      <c r="N334">
        <f>MONTH(Tabla1[[#This Row],[Fecha]])</f>
        <v>12</v>
      </c>
      <c r="O334" s="2" t="str">
        <f t="shared" si="11"/>
        <v>T4-23</v>
      </c>
    </row>
    <row r="335" spans="1:15" x14ac:dyDescent="0.25">
      <c r="A335" s="8">
        <v>334</v>
      </c>
      <c r="B335" t="s">
        <v>131</v>
      </c>
      <c r="C335" t="s">
        <v>66</v>
      </c>
      <c r="D335" t="s">
        <v>17</v>
      </c>
      <c r="E335" t="s">
        <v>61</v>
      </c>
      <c r="F335" t="s">
        <v>42</v>
      </c>
      <c r="G335" t="s">
        <v>14</v>
      </c>
      <c r="H335">
        <v>17</v>
      </c>
      <c r="I335" s="2">
        <v>1691</v>
      </c>
      <c r="J335">
        <f t="shared" si="10"/>
        <v>28747</v>
      </c>
      <c r="K335" t="str">
        <f>TEXT(Tabla1[[#This Row],[Fecha]],"MMMM")</f>
        <v>September</v>
      </c>
      <c r="L335" t="str">
        <f>TEXT(Tabla1[[#This Row],[Fecha]],"DD")</f>
        <v>11</v>
      </c>
      <c r="M335" t="str">
        <f>TEXT(Tabla1[[#This Row],[Fecha]],"yyyy")</f>
        <v>2025</v>
      </c>
      <c r="N335">
        <f>MONTH(Tabla1[[#This Row],[Fecha]])</f>
        <v>9</v>
      </c>
      <c r="O335" s="2" t="str">
        <f t="shared" si="11"/>
        <v>T3-25</v>
      </c>
    </row>
    <row r="336" spans="1:15" x14ac:dyDescent="0.25">
      <c r="A336" s="8">
        <v>335</v>
      </c>
      <c r="B336" t="s">
        <v>335</v>
      </c>
      <c r="C336" t="s">
        <v>20</v>
      </c>
      <c r="D336" t="s">
        <v>21</v>
      </c>
      <c r="E336" t="s">
        <v>61</v>
      </c>
      <c r="F336" t="s">
        <v>28</v>
      </c>
      <c r="G336" t="s">
        <v>14</v>
      </c>
      <c r="H336">
        <v>21</v>
      </c>
      <c r="I336" s="2">
        <v>1103</v>
      </c>
      <c r="J336">
        <f t="shared" si="10"/>
        <v>23163</v>
      </c>
      <c r="K336" t="str">
        <f>TEXT(Tabla1[[#This Row],[Fecha]],"MMMM")</f>
        <v>January</v>
      </c>
      <c r="L336" t="str">
        <f>TEXT(Tabla1[[#This Row],[Fecha]],"DD")</f>
        <v>12</v>
      </c>
      <c r="M336" t="str">
        <f>TEXT(Tabla1[[#This Row],[Fecha]],"yyyy")</f>
        <v>2024</v>
      </c>
      <c r="N336">
        <f>MONTH(Tabla1[[#This Row],[Fecha]])</f>
        <v>1</v>
      </c>
      <c r="O336" s="2" t="str">
        <f t="shared" si="11"/>
        <v>T1-24</v>
      </c>
    </row>
    <row r="337" spans="1:15" x14ac:dyDescent="0.25">
      <c r="A337" s="8">
        <v>336</v>
      </c>
      <c r="B337" t="s">
        <v>95</v>
      </c>
      <c r="C337" t="s">
        <v>49</v>
      </c>
      <c r="D337" t="s">
        <v>21</v>
      </c>
      <c r="E337" t="s">
        <v>32</v>
      </c>
      <c r="F337" t="s">
        <v>23</v>
      </c>
      <c r="G337" t="s">
        <v>14</v>
      </c>
      <c r="H337">
        <v>10</v>
      </c>
      <c r="I337" s="2">
        <v>4272</v>
      </c>
      <c r="J337">
        <f t="shared" si="10"/>
        <v>42720</v>
      </c>
      <c r="K337" t="str">
        <f>TEXT(Tabla1[[#This Row],[Fecha]],"MMMM")</f>
        <v>October</v>
      </c>
      <c r="L337" t="str">
        <f>TEXT(Tabla1[[#This Row],[Fecha]],"DD")</f>
        <v>20</v>
      </c>
      <c r="M337" t="str">
        <f>TEXT(Tabla1[[#This Row],[Fecha]],"yyyy")</f>
        <v>2024</v>
      </c>
      <c r="N337">
        <f>MONTH(Tabla1[[#This Row],[Fecha]])</f>
        <v>10</v>
      </c>
      <c r="O337" s="2" t="str">
        <f t="shared" si="11"/>
        <v>T4-24</v>
      </c>
    </row>
    <row r="338" spans="1:15" x14ac:dyDescent="0.25">
      <c r="A338" s="8">
        <v>337</v>
      </c>
      <c r="B338" t="s">
        <v>229</v>
      </c>
      <c r="C338" t="s">
        <v>46</v>
      </c>
      <c r="D338" t="s">
        <v>38</v>
      </c>
      <c r="E338" t="s">
        <v>72</v>
      </c>
      <c r="F338" t="s">
        <v>28</v>
      </c>
      <c r="G338" t="s">
        <v>24</v>
      </c>
      <c r="H338">
        <v>10</v>
      </c>
      <c r="I338" s="2">
        <v>426</v>
      </c>
      <c r="J338">
        <f t="shared" si="10"/>
        <v>4260</v>
      </c>
      <c r="K338" t="str">
        <f>TEXT(Tabla1[[#This Row],[Fecha]],"MMMM")</f>
        <v>October</v>
      </c>
      <c r="L338" t="str">
        <f>TEXT(Tabla1[[#This Row],[Fecha]],"DD")</f>
        <v>14</v>
      </c>
      <c r="M338" t="str">
        <f>TEXT(Tabla1[[#This Row],[Fecha]],"yyyy")</f>
        <v>2023</v>
      </c>
      <c r="N338">
        <f>MONTH(Tabla1[[#This Row],[Fecha]])</f>
        <v>10</v>
      </c>
      <c r="O338" s="2" t="str">
        <f t="shared" si="11"/>
        <v>T4-23</v>
      </c>
    </row>
    <row r="339" spans="1:15" x14ac:dyDescent="0.25">
      <c r="A339" s="8">
        <v>338</v>
      </c>
      <c r="B339" t="s">
        <v>146</v>
      </c>
      <c r="C339" t="s">
        <v>37</v>
      </c>
      <c r="D339" t="s">
        <v>38</v>
      </c>
      <c r="E339" t="s">
        <v>61</v>
      </c>
      <c r="F339" t="s">
        <v>35</v>
      </c>
      <c r="G339" t="s">
        <v>24</v>
      </c>
      <c r="H339">
        <v>5</v>
      </c>
      <c r="I339" s="2">
        <v>985</v>
      </c>
      <c r="J339">
        <f t="shared" si="10"/>
        <v>4925</v>
      </c>
      <c r="K339" t="str">
        <f>TEXT(Tabla1[[#This Row],[Fecha]],"MMMM")</f>
        <v>May</v>
      </c>
      <c r="L339" t="str">
        <f>TEXT(Tabla1[[#This Row],[Fecha]],"DD")</f>
        <v>26</v>
      </c>
      <c r="M339" t="str">
        <f>TEXT(Tabla1[[#This Row],[Fecha]],"yyyy")</f>
        <v>2024</v>
      </c>
      <c r="N339">
        <f>MONTH(Tabla1[[#This Row],[Fecha]])</f>
        <v>5</v>
      </c>
      <c r="O339" s="2" t="str">
        <f t="shared" si="11"/>
        <v>T2-24</v>
      </c>
    </row>
    <row r="340" spans="1:15" x14ac:dyDescent="0.25">
      <c r="A340" s="8">
        <v>339</v>
      </c>
      <c r="B340" t="s">
        <v>336</v>
      </c>
      <c r="C340" t="s">
        <v>26</v>
      </c>
      <c r="D340" t="s">
        <v>27</v>
      </c>
      <c r="E340" t="s">
        <v>22</v>
      </c>
      <c r="F340" t="s">
        <v>23</v>
      </c>
      <c r="G340" t="s">
        <v>24</v>
      </c>
      <c r="H340">
        <v>18</v>
      </c>
      <c r="I340" s="2">
        <v>359</v>
      </c>
      <c r="J340">
        <f t="shared" si="10"/>
        <v>6462</v>
      </c>
      <c r="K340" t="str">
        <f>TEXT(Tabla1[[#This Row],[Fecha]],"MMMM")</f>
        <v>April</v>
      </c>
      <c r="L340" t="str">
        <f>TEXT(Tabla1[[#This Row],[Fecha]],"DD")</f>
        <v>14</v>
      </c>
      <c r="M340" t="str">
        <f>TEXT(Tabla1[[#This Row],[Fecha]],"yyyy")</f>
        <v>2024</v>
      </c>
      <c r="N340">
        <f>MONTH(Tabla1[[#This Row],[Fecha]])</f>
        <v>4</v>
      </c>
      <c r="O340" s="2" t="str">
        <f t="shared" si="11"/>
        <v>T2-24</v>
      </c>
    </row>
    <row r="341" spans="1:15" x14ac:dyDescent="0.25">
      <c r="A341" s="8">
        <v>340</v>
      </c>
      <c r="B341" t="s">
        <v>337</v>
      </c>
      <c r="C341" t="s">
        <v>10</v>
      </c>
      <c r="D341" t="s">
        <v>11</v>
      </c>
      <c r="E341" t="s">
        <v>32</v>
      </c>
      <c r="F341" t="s">
        <v>23</v>
      </c>
      <c r="G341" t="s">
        <v>24</v>
      </c>
      <c r="H341">
        <v>20</v>
      </c>
      <c r="I341" s="2">
        <v>1903</v>
      </c>
      <c r="J341">
        <f t="shared" si="10"/>
        <v>38060</v>
      </c>
      <c r="K341" t="str">
        <f>TEXT(Tabla1[[#This Row],[Fecha]],"MMMM")</f>
        <v>December</v>
      </c>
      <c r="L341" t="str">
        <f>TEXT(Tabla1[[#This Row],[Fecha]],"DD")</f>
        <v>25</v>
      </c>
      <c r="M341" t="str">
        <f>TEXT(Tabla1[[#This Row],[Fecha]],"yyyy")</f>
        <v>2023</v>
      </c>
      <c r="N341">
        <f>MONTH(Tabla1[[#This Row],[Fecha]])</f>
        <v>12</v>
      </c>
      <c r="O341" s="2" t="str">
        <f t="shared" si="11"/>
        <v>T4-23</v>
      </c>
    </row>
    <row r="342" spans="1:15" x14ac:dyDescent="0.25">
      <c r="A342" s="8">
        <v>341</v>
      </c>
      <c r="B342" t="s">
        <v>338</v>
      </c>
      <c r="C342" t="s">
        <v>37</v>
      </c>
      <c r="D342" t="s">
        <v>38</v>
      </c>
      <c r="E342" t="s">
        <v>50</v>
      </c>
      <c r="F342" t="s">
        <v>13</v>
      </c>
      <c r="G342" t="s">
        <v>24</v>
      </c>
      <c r="H342">
        <v>20</v>
      </c>
      <c r="I342" s="2">
        <v>4281</v>
      </c>
      <c r="J342">
        <f t="shared" si="10"/>
        <v>85620</v>
      </c>
      <c r="K342" t="str">
        <f>TEXT(Tabla1[[#This Row],[Fecha]],"MMMM")</f>
        <v>October</v>
      </c>
      <c r="L342" t="str">
        <f>TEXT(Tabla1[[#This Row],[Fecha]],"DD")</f>
        <v>07</v>
      </c>
      <c r="M342" t="str">
        <f>TEXT(Tabla1[[#This Row],[Fecha]],"yyyy")</f>
        <v>2023</v>
      </c>
      <c r="N342">
        <f>MONTH(Tabla1[[#This Row],[Fecha]])</f>
        <v>10</v>
      </c>
      <c r="O342" s="2" t="str">
        <f t="shared" si="11"/>
        <v>T4-23</v>
      </c>
    </row>
    <row r="343" spans="1:15" x14ac:dyDescent="0.25">
      <c r="A343" s="8">
        <v>342</v>
      </c>
      <c r="B343" t="s">
        <v>339</v>
      </c>
      <c r="C343" t="s">
        <v>10</v>
      </c>
      <c r="D343" t="s">
        <v>11</v>
      </c>
      <c r="E343" t="s">
        <v>58</v>
      </c>
      <c r="F343" t="s">
        <v>28</v>
      </c>
      <c r="G343" t="s">
        <v>24</v>
      </c>
      <c r="H343">
        <v>19</v>
      </c>
      <c r="I343" s="2">
        <v>4545</v>
      </c>
      <c r="J343">
        <f t="shared" si="10"/>
        <v>86355</v>
      </c>
      <c r="K343" t="str">
        <f>TEXT(Tabla1[[#This Row],[Fecha]],"MMMM")</f>
        <v>January</v>
      </c>
      <c r="L343" t="str">
        <f>TEXT(Tabla1[[#This Row],[Fecha]],"DD")</f>
        <v>11</v>
      </c>
      <c r="M343" t="str">
        <f>TEXT(Tabla1[[#This Row],[Fecha]],"yyyy")</f>
        <v>2025</v>
      </c>
      <c r="N343">
        <f>MONTH(Tabla1[[#This Row],[Fecha]])</f>
        <v>1</v>
      </c>
      <c r="O343" s="2" t="str">
        <f t="shared" si="11"/>
        <v>T1-25</v>
      </c>
    </row>
    <row r="344" spans="1:15" x14ac:dyDescent="0.25">
      <c r="A344" s="8">
        <v>343</v>
      </c>
      <c r="B344" t="s">
        <v>119</v>
      </c>
      <c r="C344" t="s">
        <v>10</v>
      </c>
      <c r="D344" t="s">
        <v>11</v>
      </c>
      <c r="E344" t="s">
        <v>61</v>
      </c>
      <c r="F344" t="s">
        <v>42</v>
      </c>
      <c r="G344" t="s">
        <v>14</v>
      </c>
      <c r="H344">
        <v>4</v>
      </c>
      <c r="I344" s="2">
        <v>691</v>
      </c>
      <c r="J344">
        <f t="shared" si="10"/>
        <v>2764</v>
      </c>
      <c r="K344" t="str">
        <f>TEXT(Tabla1[[#This Row],[Fecha]],"MMMM")</f>
        <v>January</v>
      </c>
      <c r="L344" t="str">
        <f>TEXT(Tabla1[[#This Row],[Fecha]],"DD")</f>
        <v>29</v>
      </c>
      <c r="M344" t="str">
        <f>TEXT(Tabla1[[#This Row],[Fecha]],"yyyy")</f>
        <v>2025</v>
      </c>
      <c r="N344">
        <f>MONTH(Tabla1[[#This Row],[Fecha]])</f>
        <v>1</v>
      </c>
      <c r="O344" s="2" t="str">
        <f t="shared" si="11"/>
        <v>T1-25</v>
      </c>
    </row>
    <row r="345" spans="1:15" x14ac:dyDescent="0.25">
      <c r="A345" s="8">
        <v>344</v>
      </c>
      <c r="B345" t="s">
        <v>111</v>
      </c>
      <c r="C345" t="s">
        <v>26</v>
      </c>
      <c r="D345" t="s">
        <v>27</v>
      </c>
      <c r="E345" t="s">
        <v>52</v>
      </c>
      <c r="F345" t="s">
        <v>18</v>
      </c>
      <c r="G345" t="s">
        <v>24</v>
      </c>
      <c r="H345">
        <v>9</v>
      </c>
      <c r="I345" s="2">
        <v>3041</v>
      </c>
      <c r="J345">
        <f t="shared" si="10"/>
        <v>27369</v>
      </c>
      <c r="K345" t="str">
        <f>TEXT(Tabla1[[#This Row],[Fecha]],"MMMM")</f>
        <v>September</v>
      </c>
      <c r="L345" t="str">
        <f>TEXT(Tabla1[[#This Row],[Fecha]],"DD")</f>
        <v>04</v>
      </c>
      <c r="M345" t="str">
        <f>TEXT(Tabla1[[#This Row],[Fecha]],"yyyy")</f>
        <v>2023</v>
      </c>
      <c r="N345">
        <f>MONTH(Tabla1[[#This Row],[Fecha]])</f>
        <v>9</v>
      </c>
      <c r="O345" s="2" t="str">
        <f t="shared" si="11"/>
        <v>T3-23</v>
      </c>
    </row>
    <row r="346" spans="1:15" x14ac:dyDescent="0.25">
      <c r="A346" s="8">
        <v>345</v>
      </c>
      <c r="B346" t="s">
        <v>340</v>
      </c>
      <c r="C346" t="s">
        <v>49</v>
      </c>
      <c r="D346" t="s">
        <v>21</v>
      </c>
      <c r="E346" t="s">
        <v>50</v>
      </c>
      <c r="F346" t="s">
        <v>35</v>
      </c>
      <c r="G346" t="s">
        <v>24</v>
      </c>
      <c r="H346">
        <v>20</v>
      </c>
      <c r="I346" s="2">
        <v>315</v>
      </c>
      <c r="J346">
        <f t="shared" si="10"/>
        <v>6300</v>
      </c>
      <c r="K346" t="str">
        <f>TEXT(Tabla1[[#This Row],[Fecha]],"MMMM")</f>
        <v>October</v>
      </c>
      <c r="L346" t="str">
        <f>TEXT(Tabla1[[#This Row],[Fecha]],"DD")</f>
        <v>25</v>
      </c>
      <c r="M346" t="str">
        <f>TEXT(Tabla1[[#This Row],[Fecha]],"yyyy")</f>
        <v>2023</v>
      </c>
      <c r="N346">
        <f>MONTH(Tabla1[[#This Row],[Fecha]])</f>
        <v>10</v>
      </c>
      <c r="O346" s="2" t="str">
        <f t="shared" si="11"/>
        <v>T4-23</v>
      </c>
    </row>
    <row r="347" spans="1:15" x14ac:dyDescent="0.25">
      <c r="A347" s="8">
        <v>346</v>
      </c>
      <c r="B347" t="s">
        <v>341</v>
      </c>
      <c r="C347" t="s">
        <v>66</v>
      </c>
      <c r="D347" t="s">
        <v>17</v>
      </c>
      <c r="E347" t="s">
        <v>41</v>
      </c>
      <c r="F347" t="s">
        <v>13</v>
      </c>
      <c r="G347" t="s">
        <v>24</v>
      </c>
      <c r="H347">
        <v>20</v>
      </c>
      <c r="I347" s="2">
        <v>776</v>
      </c>
      <c r="J347">
        <f t="shared" si="10"/>
        <v>15520</v>
      </c>
      <c r="K347" t="str">
        <f>TEXT(Tabla1[[#This Row],[Fecha]],"MMMM")</f>
        <v>May</v>
      </c>
      <c r="L347" t="str">
        <f>TEXT(Tabla1[[#This Row],[Fecha]],"DD")</f>
        <v>15</v>
      </c>
      <c r="M347" t="str">
        <f>TEXT(Tabla1[[#This Row],[Fecha]],"yyyy")</f>
        <v>2025</v>
      </c>
      <c r="N347">
        <f>MONTH(Tabla1[[#This Row],[Fecha]])</f>
        <v>5</v>
      </c>
      <c r="O347" s="2" t="str">
        <f t="shared" si="11"/>
        <v>T2-25</v>
      </c>
    </row>
    <row r="348" spans="1:15" x14ac:dyDescent="0.25">
      <c r="A348" s="8">
        <v>347</v>
      </c>
      <c r="B348" t="s">
        <v>342</v>
      </c>
      <c r="C348" t="s">
        <v>30</v>
      </c>
      <c r="D348" t="s">
        <v>17</v>
      </c>
      <c r="E348" t="s">
        <v>22</v>
      </c>
      <c r="F348" t="s">
        <v>35</v>
      </c>
      <c r="G348" t="s">
        <v>24</v>
      </c>
      <c r="H348">
        <v>22</v>
      </c>
      <c r="I348" s="2">
        <v>1318</v>
      </c>
      <c r="J348">
        <f t="shared" si="10"/>
        <v>28996</v>
      </c>
      <c r="K348" t="str">
        <f>TEXT(Tabla1[[#This Row],[Fecha]],"MMMM")</f>
        <v>April</v>
      </c>
      <c r="L348" t="str">
        <f>TEXT(Tabla1[[#This Row],[Fecha]],"DD")</f>
        <v>24</v>
      </c>
      <c r="M348" t="str">
        <f>TEXT(Tabla1[[#This Row],[Fecha]],"yyyy")</f>
        <v>2023</v>
      </c>
      <c r="N348">
        <f>MONTH(Tabla1[[#This Row],[Fecha]])</f>
        <v>4</v>
      </c>
      <c r="O348" s="2" t="str">
        <f t="shared" si="11"/>
        <v>T2-23</v>
      </c>
    </row>
    <row r="349" spans="1:15" x14ac:dyDescent="0.25">
      <c r="A349" s="8">
        <v>348</v>
      </c>
      <c r="B349" t="s">
        <v>343</v>
      </c>
      <c r="C349" t="s">
        <v>37</v>
      </c>
      <c r="D349" t="s">
        <v>38</v>
      </c>
      <c r="E349" t="s">
        <v>58</v>
      </c>
      <c r="F349" t="s">
        <v>13</v>
      </c>
      <c r="G349" t="s">
        <v>24</v>
      </c>
      <c r="H349">
        <v>4</v>
      </c>
      <c r="I349" s="2">
        <v>1042</v>
      </c>
      <c r="J349">
        <f t="shared" si="10"/>
        <v>4168</v>
      </c>
      <c r="K349" t="str">
        <f>TEXT(Tabla1[[#This Row],[Fecha]],"MMMM")</f>
        <v>December</v>
      </c>
      <c r="L349" t="str">
        <f>TEXT(Tabla1[[#This Row],[Fecha]],"DD")</f>
        <v>13</v>
      </c>
      <c r="M349" t="str">
        <f>TEXT(Tabla1[[#This Row],[Fecha]],"yyyy")</f>
        <v>2024</v>
      </c>
      <c r="N349">
        <f>MONTH(Tabla1[[#This Row],[Fecha]])</f>
        <v>12</v>
      </c>
      <c r="O349" s="2" t="str">
        <f t="shared" si="11"/>
        <v>T4-24</v>
      </c>
    </row>
    <row r="350" spans="1:15" x14ac:dyDescent="0.25">
      <c r="A350" s="8">
        <v>349</v>
      </c>
      <c r="B350" t="s">
        <v>330</v>
      </c>
      <c r="C350" t="s">
        <v>49</v>
      </c>
      <c r="D350" t="s">
        <v>21</v>
      </c>
      <c r="E350" t="s">
        <v>44</v>
      </c>
      <c r="F350" t="s">
        <v>42</v>
      </c>
      <c r="G350" t="s">
        <v>24</v>
      </c>
      <c r="H350">
        <v>10</v>
      </c>
      <c r="I350" s="2">
        <v>2670</v>
      </c>
      <c r="J350">
        <f t="shared" si="10"/>
        <v>26700</v>
      </c>
      <c r="K350" t="str">
        <f>TEXT(Tabla1[[#This Row],[Fecha]],"MMMM")</f>
        <v>August</v>
      </c>
      <c r="L350" t="str">
        <f>TEXT(Tabla1[[#This Row],[Fecha]],"DD")</f>
        <v>23</v>
      </c>
      <c r="M350" t="str">
        <f>TEXT(Tabla1[[#This Row],[Fecha]],"yyyy")</f>
        <v>2025</v>
      </c>
      <c r="N350">
        <f>MONTH(Tabla1[[#This Row],[Fecha]])</f>
        <v>8</v>
      </c>
      <c r="O350" s="2" t="str">
        <f t="shared" si="11"/>
        <v>T3-25</v>
      </c>
    </row>
    <row r="351" spans="1:15" x14ac:dyDescent="0.25">
      <c r="A351" s="8">
        <v>350</v>
      </c>
      <c r="B351" t="s">
        <v>344</v>
      </c>
      <c r="C351" t="s">
        <v>26</v>
      </c>
      <c r="D351" t="s">
        <v>27</v>
      </c>
      <c r="E351" t="s">
        <v>12</v>
      </c>
      <c r="F351" t="s">
        <v>28</v>
      </c>
      <c r="G351" t="s">
        <v>24</v>
      </c>
      <c r="H351">
        <v>12</v>
      </c>
      <c r="I351" s="2">
        <v>2576</v>
      </c>
      <c r="J351">
        <f t="shared" si="10"/>
        <v>30912</v>
      </c>
      <c r="K351" t="str">
        <f>TEXT(Tabla1[[#This Row],[Fecha]],"MMMM")</f>
        <v>August</v>
      </c>
      <c r="L351" t="str">
        <f>TEXT(Tabla1[[#This Row],[Fecha]],"DD")</f>
        <v>16</v>
      </c>
      <c r="M351" t="str">
        <f>TEXT(Tabla1[[#This Row],[Fecha]],"yyyy")</f>
        <v>2024</v>
      </c>
      <c r="N351">
        <f>MONTH(Tabla1[[#This Row],[Fecha]])</f>
        <v>8</v>
      </c>
      <c r="O351" s="2" t="str">
        <f t="shared" si="11"/>
        <v>T3-24</v>
      </c>
    </row>
    <row r="352" spans="1:15" x14ac:dyDescent="0.25">
      <c r="A352" s="8">
        <v>351</v>
      </c>
      <c r="B352" t="s">
        <v>345</v>
      </c>
      <c r="C352" t="s">
        <v>16</v>
      </c>
      <c r="D352" t="s">
        <v>17</v>
      </c>
      <c r="E352" t="s">
        <v>61</v>
      </c>
      <c r="F352" t="s">
        <v>42</v>
      </c>
      <c r="G352" t="s">
        <v>24</v>
      </c>
      <c r="H352">
        <v>9</v>
      </c>
      <c r="I352" s="2">
        <v>3170</v>
      </c>
      <c r="J352">
        <f t="shared" si="10"/>
        <v>28530</v>
      </c>
      <c r="K352" t="str">
        <f>TEXT(Tabla1[[#This Row],[Fecha]],"MMMM")</f>
        <v>December</v>
      </c>
      <c r="L352" t="str">
        <f>TEXT(Tabla1[[#This Row],[Fecha]],"DD")</f>
        <v>21</v>
      </c>
      <c r="M352" t="str">
        <f>TEXT(Tabla1[[#This Row],[Fecha]],"yyyy")</f>
        <v>2024</v>
      </c>
      <c r="N352">
        <f>MONTH(Tabla1[[#This Row],[Fecha]])</f>
        <v>12</v>
      </c>
      <c r="O352" s="2" t="str">
        <f t="shared" si="11"/>
        <v>T4-24</v>
      </c>
    </row>
    <row r="353" spans="1:15" x14ac:dyDescent="0.25">
      <c r="A353" s="8">
        <v>352</v>
      </c>
      <c r="B353" t="s">
        <v>346</v>
      </c>
      <c r="C353" t="s">
        <v>49</v>
      </c>
      <c r="D353" t="s">
        <v>21</v>
      </c>
      <c r="E353" t="s">
        <v>41</v>
      </c>
      <c r="F353" t="s">
        <v>35</v>
      </c>
      <c r="G353" t="s">
        <v>24</v>
      </c>
      <c r="H353">
        <v>23</v>
      </c>
      <c r="I353" s="2">
        <v>207</v>
      </c>
      <c r="J353">
        <f t="shared" si="10"/>
        <v>4761</v>
      </c>
      <c r="K353" t="str">
        <f>TEXT(Tabla1[[#This Row],[Fecha]],"MMMM")</f>
        <v>December</v>
      </c>
      <c r="L353" t="str">
        <f>TEXT(Tabla1[[#This Row],[Fecha]],"DD")</f>
        <v>12</v>
      </c>
      <c r="M353" t="str">
        <f>TEXT(Tabla1[[#This Row],[Fecha]],"yyyy")</f>
        <v>2025</v>
      </c>
      <c r="N353">
        <f>MONTH(Tabla1[[#This Row],[Fecha]])</f>
        <v>12</v>
      </c>
      <c r="O353" s="2" t="str">
        <f t="shared" si="11"/>
        <v>T4-25</v>
      </c>
    </row>
    <row r="354" spans="1:15" x14ac:dyDescent="0.25">
      <c r="A354" s="8">
        <v>353</v>
      </c>
      <c r="B354" t="s">
        <v>347</v>
      </c>
      <c r="C354" t="s">
        <v>37</v>
      </c>
      <c r="D354" t="s">
        <v>38</v>
      </c>
      <c r="E354" t="s">
        <v>72</v>
      </c>
      <c r="F354" t="s">
        <v>23</v>
      </c>
      <c r="G354" t="s">
        <v>24</v>
      </c>
      <c r="H354">
        <v>24</v>
      </c>
      <c r="I354" s="2">
        <v>620</v>
      </c>
      <c r="J354">
        <f t="shared" si="10"/>
        <v>14880</v>
      </c>
      <c r="K354" t="str">
        <f>TEXT(Tabla1[[#This Row],[Fecha]],"MMMM")</f>
        <v>May</v>
      </c>
      <c r="L354" t="str">
        <f>TEXT(Tabla1[[#This Row],[Fecha]],"DD")</f>
        <v>03</v>
      </c>
      <c r="M354" t="str">
        <f>TEXT(Tabla1[[#This Row],[Fecha]],"yyyy")</f>
        <v>2023</v>
      </c>
      <c r="N354">
        <f>MONTH(Tabla1[[#This Row],[Fecha]])</f>
        <v>5</v>
      </c>
      <c r="O354" s="2" t="str">
        <f t="shared" si="11"/>
        <v>T2-23</v>
      </c>
    </row>
    <row r="355" spans="1:15" x14ac:dyDescent="0.25">
      <c r="A355" s="8">
        <v>354</v>
      </c>
      <c r="B355" t="s">
        <v>348</v>
      </c>
      <c r="C355" t="s">
        <v>20</v>
      </c>
      <c r="D355" t="s">
        <v>21</v>
      </c>
      <c r="E355" t="s">
        <v>58</v>
      </c>
      <c r="F355" t="s">
        <v>18</v>
      </c>
      <c r="G355" t="s">
        <v>14</v>
      </c>
      <c r="H355">
        <v>14</v>
      </c>
      <c r="I355" s="2">
        <v>1342</v>
      </c>
      <c r="J355">
        <f t="shared" si="10"/>
        <v>18788</v>
      </c>
      <c r="K355" t="str">
        <f>TEXT(Tabla1[[#This Row],[Fecha]],"MMMM")</f>
        <v>October</v>
      </c>
      <c r="L355" t="str">
        <f>TEXT(Tabla1[[#This Row],[Fecha]],"DD")</f>
        <v>02</v>
      </c>
      <c r="M355" t="str">
        <f>TEXT(Tabla1[[#This Row],[Fecha]],"yyyy")</f>
        <v>2024</v>
      </c>
      <c r="N355">
        <f>MONTH(Tabla1[[#This Row],[Fecha]])</f>
        <v>10</v>
      </c>
      <c r="O355" s="2" t="str">
        <f t="shared" si="11"/>
        <v>T4-24</v>
      </c>
    </row>
    <row r="356" spans="1:15" x14ac:dyDescent="0.25">
      <c r="A356" s="8">
        <v>355</v>
      </c>
      <c r="B356" t="s">
        <v>349</v>
      </c>
      <c r="C356" t="s">
        <v>16</v>
      </c>
      <c r="D356" t="s">
        <v>17</v>
      </c>
      <c r="E356" t="s">
        <v>44</v>
      </c>
      <c r="F356" t="s">
        <v>42</v>
      </c>
      <c r="G356" t="s">
        <v>14</v>
      </c>
      <c r="H356">
        <v>22</v>
      </c>
      <c r="I356" s="2">
        <v>2981</v>
      </c>
      <c r="J356">
        <f t="shared" si="10"/>
        <v>65582</v>
      </c>
      <c r="K356" t="str">
        <f>TEXT(Tabla1[[#This Row],[Fecha]],"MMMM")</f>
        <v>June</v>
      </c>
      <c r="L356" t="str">
        <f>TEXT(Tabla1[[#This Row],[Fecha]],"DD")</f>
        <v>24</v>
      </c>
      <c r="M356" t="str">
        <f>TEXT(Tabla1[[#This Row],[Fecha]],"yyyy")</f>
        <v>2024</v>
      </c>
      <c r="N356">
        <f>MONTH(Tabla1[[#This Row],[Fecha]])</f>
        <v>6</v>
      </c>
      <c r="O356" s="2" t="str">
        <f t="shared" si="11"/>
        <v>T2-24</v>
      </c>
    </row>
    <row r="357" spans="1:15" x14ac:dyDescent="0.25">
      <c r="A357" s="8">
        <v>356</v>
      </c>
      <c r="B357" t="s">
        <v>258</v>
      </c>
      <c r="C357" t="s">
        <v>37</v>
      </c>
      <c r="D357" t="s">
        <v>38</v>
      </c>
      <c r="E357" t="s">
        <v>32</v>
      </c>
      <c r="F357" t="s">
        <v>18</v>
      </c>
      <c r="G357" t="s">
        <v>24</v>
      </c>
      <c r="H357">
        <v>17</v>
      </c>
      <c r="I357" s="2">
        <v>1041</v>
      </c>
      <c r="J357">
        <f t="shared" si="10"/>
        <v>17697</v>
      </c>
      <c r="K357" t="str">
        <f>TEXT(Tabla1[[#This Row],[Fecha]],"MMMM")</f>
        <v>December</v>
      </c>
      <c r="L357" t="str">
        <f>TEXT(Tabla1[[#This Row],[Fecha]],"DD")</f>
        <v>13</v>
      </c>
      <c r="M357" t="str">
        <f>TEXT(Tabla1[[#This Row],[Fecha]],"yyyy")</f>
        <v>2023</v>
      </c>
      <c r="N357">
        <f>MONTH(Tabla1[[#This Row],[Fecha]])</f>
        <v>12</v>
      </c>
      <c r="O357" s="2" t="str">
        <f t="shared" si="11"/>
        <v>T4-23</v>
      </c>
    </row>
    <row r="358" spans="1:15" x14ac:dyDescent="0.25">
      <c r="A358" s="8">
        <v>357</v>
      </c>
      <c r="B358" t="s">
        <v>19</v>
      </c>
      <c r="C358" t="s">
        <v>69</v>
      </c>
      <c r="D358" t="s">
        <v>17</v>
      </c>
      <c r="E358" t="s">
        <v>50</v>
      </c>
      <c r="F358" t="s">
        <v>28</v>
      </c>
      <c r="G358" t="s">
        <v>14</v>
      </c>
      <c r="H358">
        <v>18</v>
      </c>
      <c r="I358" s="2">
        <v>3973</v>
      </c>
      <c r="J358">
        <f t="shared" si="10"/>
        <v>71514</v>
      </c>
      <c r="K358" t="str">
        <f>TEXT(Tabla1[[#This Row],[Fecha]],"MMMM")</f>
        <v>November</v>
      </c>
      <c r="L358" t="str">
        <f>TEXT(Tabla1[[#This Row],[Fecha]],"DD")</f>
        <v>04</v>
      </c>
      <c r="M358" t="str">
        <f>TEXT(Tabla1[[#This Row],[Fecha]],"yyyy")</f>
        <v>2023</v>
      </c>
      <c r="N358">
        <f>MONTH(Tabla1[[#This Row],[Fecha]])</f>
        <v>11</v>
      </c>
      <c r="O358" s="2" t="str">
        <f t="shared" si="11"/>
        <v>T4-23</v>
      </c>
    </row>
    <row r="359" spans="1:15" x14ac:dyDescent="0.25">
      <c r="A359" s="8">
        <v>358</v>
      </c>
      <c r="B359" t="s">
        <v>350</v>
      </c>
      <c r="C359" t="s">
        <v>16</v>
      </c>
      <c r="D359" t="s">
        <v>17</v>
      </c>
      <c r="E359" t="s">
        <v>72</v>
      </c>
      <c r="F359" t="s">
        <v>35</v>
      </c>
      <c r="G359" t="s">
        <v>24</v>
      </c>
      <c r="H359">
        <v>10</v>
      </c>
      <c r="I359" s="2">
        <v>4854</v>
      </c>
      <c r="J359">
        <f t="shared" si="10"/>
        <v>48540</v>
      </c>
      <c r="K359" t="str">
        <f>TEXT(Tabla1[[#This Row],[Fecha]],"MMMM")</f>
        <v>March</v>
      </c>
      <c r="L359" t="str">
        <f>TEXT(Tabla1[[#This Row],[Fecha]],"DD")</f>
        <v>17</v>
      </c>
      <c r="M359" t="str">
        <f>TEXT(Tabla1[[#This Row],[Fecha]],"yyyy")</f>
        <v>2023</v>
      </c>
      <c r="N359">
        <f>MONTH(Tabla1[[#This Row],[Fecha]])</f>
        <v>3</v>
      </c>
      <c r="O359" s="2" t="str">
        <f t="shared" si="11"/>
        <v>T1-23</v>
      </c>
    </row>
    <row r="360" spans="1:15" x14ac:dyDescent="0.25">
      <c r="A360" s="8">
        <v>359</v>
      </c>
      <c r="B360" t="s">
        <v>351</v>
      </c>
      <c r="C360" t="s">
        <v>30</v>
      </c>
      <c r="D360" t="s">
        <v>17</v>
      </c>
      <c r="E360" t="s">
        <v>44</v>
      </c>
      <c r="F360" t="s">
        <v>23</v>
      </c>
      <c r="G360" t="s">
        <v>14</v>
      </c>
      <c r="H360">
        <v>16</v>
      </c>
      <c r="I360" s="2">
        <v>4398</v>
      </c>
      <c r="J360">
        <f t="shared" si="10"/>
        <v>70368</v>
      </c>
      <c r="K360" t="str">
        <f>TEXT(Tabla1[[#This Row],[Fecha]],"MMMM")</f>
        <v>November</v>
      </c>
      <c r="L360" t="str">
        <f>TEXT(Tabla1[[#This Row],[Fecha]],"DD")</f>
        <v>29</v>
      </c>
      <c r="M360" t="str">
        <f>TEXT(Tabla1[[#This Row],[Fecha]],"yyyy")</f>
        <v>2025</v>
      </c>
      <c r="N360">
        <f>MONTH(Tabla1[[#This Row],[Fecha]])</f>
        <v>11</v>
      </c>
      <c r="O360" s="2" t="str">
        <f t="shared" si="11"/>
        <v>T4-25</v>
      </c>
    </row>
    <row r="361" spans="1:15" x14ac:dyDescent="0.25">
      <c r="A361" s="8">
        <v>360</v>
      </c>
      <c r="B361" t="s">
        <v>352</v>
      </c>
      <c r="C361" t="s">
        <v>20</v>
      </c>
      <c r="D361" t="s">
        <v>21</v>
      </c>
      <c r="E361" t="s">
        <v>32</v>
      </c>
      <c r="F361" t="s">
        <v>13</v>
      </c>
      <c r="G361" t="s">
        <v>14</v>
      </c>
      <c r="H361">
        <v>9</v>
      </c>
      <c r="I361" s="2">
        <v>1093</v>
      </c>
      <c r="J361">
        <f t="shared" si="10"/>
        <v>9837</v>
      </c>
      <c r="K361" t="str">
        <f>TEXT(Tabla1[[#This Row],[Fecha]],"MMMM")</f>
        <v>September</v>
      </c>
      <c r="L361" t="str">
        <f>TEXT(Tabla1[[#This Row],[Fecha]],"DD")</f>
        <v>09</v>
      </c>
      <c r="M361" t="str">
        <f>TEXT(Tabla1[[#This Row],[Fecha]],"yyyy")</f>
        <v>2025</v>
      </c>
      <c r="N361">
        <f>MONTH(Tabla1[[#This Row],[Fecha]])</f>
        <v>9</v>
      </c>
      <c r="O361" s="2" t="str">
        <f t="shared" si="11"/>
        <v>T3-25</v>
      </c>
    </row>
    <row r="362" spans="1:15" x14ac:dyDescent="0.25">
      <c r="A362" s="8">
        <v>361</v>
      </c>
      <c r="B362" t="s">
        <v>353</v>
      </c>
      <c r="C362" t="s">
        <v>69</v>
      </c>
      <c r="D362" t="s">
        <v>17</v>
      </c>
      <c r="E362" t="s">
        <v>61</v>
      </c>
      <c r="F362" t="s">
        <v>35</v>
      </c>
      <c r="G362" t="s">
        <v>14</v>
      </c>
      <c r="H362">
        <v>25</v>
      </c>
      <c r="I362" s="2">
        <v>255</v>
      </c>
      <c r="J362">
        <f t="shared" si="10"/>
        <v>6375</v>
      </c>
      <c r="K362" t="str">
        <f>TEXT(Tabla1[[#This Row],[Fecha]],"MMMM")</f>
        <v>May</v>
      </c>
      <c r="L362" t="str">
        <f>TEXT(Tabla1[[#This Row],[Fecha]],"DD")</f>
        <v>10</v>
      </c>
      <c r="M362" t="str">
        <f>TEXT(Tabla1[[#This Row],[Fecha]],"yyyy")</f>
        <v>2025</v>
      </c>
      <c r="N362">
        <f>MONTH(Tabla1[[#This Row],[Fecha]])</f>
        <v>5</v>
      </c>
      <c r="O362" s="2" t="str">
        <f t="shared" si="11"/>
        <v>T2-25</v>
      </c>
    </row>
    <row r="363" spans="1:15" x14ac:dyDescent="0.25">
      <c r="A363" s="8">
        <v>362</v>
      </c>
      <c r="B363" t="s">
        <v>354</v>
      </c>
      <c r="C363" t="s">
        <v>16</v>
      </c>
      <c r="D363" t="s">
        <v>17</v>
      </c>
      <c r="E363" t="s">
        <v>52</v>
      </c>
      <c r="F363" t="s">
        <v>23</v>
      </c>
      <c r="G363" t="s">
        <v>24</v>
      </c>
      <c r="H363">
        <v>22</v>
      </c>
      <c r="I363" s="2">
        <v>623</v>
      </c>
      <c r="J363">
        <f t="shared" si="10"/>
        <v>13706</v>
      </c>
      <c r="K363" t="str">
        <f>TEXT(Tabla1[[#This Row],[Fecha]],"MMMM")</f>
        <v>June</v>
      </c>
      <c r="L363" t="str">
        <f>TEXT(Tabla1[[#This Row],[Fecha]],"DD")</f>
        <v>08</v>
      </c>
      <c r="M363" t="str">
        <f>TEXT(Tabla1[[#This Row],[Fecha]],"yyyy")</f>
        <v>2025</v>
      </c>
      <c r="N363">
        <f>MONTH(Tabla1[[#This Row],[Fecha]])</f>
        <v>6</v>
      </c>
      <c r="O363" s="2" t="str">
        <f t="shared" si="11"/>
        <v>T2-25</v>
      </c>
    </row>
    <row r="364" spans="1:15" x14ac:dyDescent="0.25">
      <c r="A364" s="8">
        <v>363</v>
      </c>
      <c r="B364" t="s">
        <v>307</v>
      </c>
      <c r="C364" t="s">
        <v>16</v>
      </c>
      <c r="D364" t="s">
        <v>17</v>
      </c>
      <c r="E364" t="s">
        <v>61</v>
      </c>
      <c r="F364" t="s">
        <v>35</v>
      </c>
      <c r="G364" t="s">
        <v>24</v>
      </c>
      <c r="H364">
        <v>1</v>
      </c>
      <c r="I364" s="2">
        <v>3179</v>
      </c>
      <c r="J364">
        <f t="shared" si="10"/>
        <v>3179</v>
      </c>
      <c r="K364" t="str">
        <f>TEXT(Tabla1[[#This Row],[Fecha]],"MMMM")</f>
        <v>January</v>
      </c>
      <c r="L364" t="str">
        <f>TEXT(Tabla1[[#This Row],[Fecha]],"DD")</f>
        <v>07</v>
      </c>
      <c r="M364" t="str">
        <f>TEXT(Tabla1[[#This Row],[Fecha]],"yyyy")</f>
        <v>2023</v>
      </c>
      <c r="N364">
        <f>MONTH(Tabla1[[#This Row],[Fecha]])</f>
        <v>1</v>
      </c>
      <c r="O364" s="2" t="str">
        <f t="shared" si="11"/>
        <v>T1-23</v>
      </c>
    </row>
    <row r="365" spans="1:15" x14ac:dyDescent="0.25">
      <c r="A365" s="8">
        <v>364</v>
      </c>
      <c r="B365" t="s">
        <v>327</v>
      </c>
      <c r="C365" t="s">
        <v>10</v>
      </c>
      <c r="D365" t="s">
        <v>11</v>
      </c>
      <c r="E365" t="s">
        <v>12</v>
      </c>
      <c r="F365" t="s">
        <v>23</v>
      </c>
      <c r="G365" t="s">
        <v>24</v>
      </c>
      <c r="H365">
        <v>21</v>
      </c>
      <c r="I365" s="2">
        <v>3400</v>
      </c>
      <c r="J365">
        <f t="shared" si="10"/>
        <v>71400</v>
      </c>
      <c r="K365" t="str">
        <f>TEXT(Tabla1[[#This Row],[Fecha]],"MMMM")</f>
        <v>October</v>
      </c>
      <c r="L365" t="str">
        <f>TEXT(Tabla1[[#This Row],[Fecha]],"DD")</f>
        <v>01</v>
      </c>
      <c r="M365" t="str">
        <f>TEXT(Tabla1[[#This Row],[Fecha]],"yyyy")</f>
        <v>2023</v>
      </c>
      <c r="N365">
        <f>MONTH(Tabla1[[#This Row],[Fecha]])</f>
        <v>10</v>
      </c>
      <c r="O365" s="2" t="str">
        <f t="shared" si="11"/>
        <v>T4-23</v>
      </c>
    </row>
    <row r="366" spans="1:15" x14ac:dyDescent="0.25">
      <c r="A366" s="8">
        <v>365</v>
      </c>
      <c r="B366" t="s">
        <v>355</v>
      </c>
      <c r="C366" t="s">
        <v>20</v>
      </c>
      <c r="D366" t="s">
        <v>21</v>
      </c>
      <c r="E366" t="s">
        <v>58</v>
      </c>
      <c r="F366" t="s">
        <v>13</v>
      </c>
      <c r="G366" t="s">
        <v>24</v>
      </c>
      <c r="H366">
        <v>20</v>
      </c>
      <c r="I366" s="2">
        <v>258</v>
      </c>
      <c r="J366">
        <f t="shared" si="10"/>
        <v>5160</v>
      </c>
      <c r="K366" t="str">
        <f>TEXT(Tabla1[[#This Row],[Fecha]],"MMMM")</f>
        <v>September</v>
      </c>
      <c r="L366" t="str">
        <f>TEXT(Tabla1[[#This Row],[Fecha]],"DD")</f>
        <v>09</v>
      </c>
      <c r="M366" t="str">
        <f>TEXT(Tabla1[[#This Row],[Fecha]],"yyyy")</f>
        <v>2023</v>
      </c>
      <c r="N366">
        <f>MONTH(Tabla1[[#This Row],[Fecha]])</f>
        <v>9</v>
      </c>
      <c r="O366" s="2" t="str">
        <f t="shared" si="11"/>
        <v>T3-23</v>
      </c>
    </row>
    <row r="367" spans="1:15" x14ac:dyDescent="0.25">
      <c r="A367" s="8">
        <v>366</v>
      </c>
      <c r="B367" t="s">
        <v>272</v>
      </c>
      <c r="C367" t="s">
        <v>30</v>
      </c>
      <c r="D367" t="s">
        <v>17</v>
      </c>
      <c r="E367" t="s">
        <v>12</v>
      </c>
      <c r="F367" t="s">
        <v>33</v>
      </c>
      <c r="G367" t="s">
        <v>24</v>
      </c>
      <c r="H367">
        <v>8</v>
      </c>
      <c r="I367" s="2">
        <v>4605</v>
      </c>
      <c r="J367">
        <f t="shared" si="10"/>
        <v>36840</v>
      </c>
      <c r="K367" t="str">
        <f>TEXT(Tabla1[[#This Row],[Fecha]],"MMMM")</f>
        <v>October</v>
      </c>
      <c r="L367" t="str">
        <f>TEXT(Tabla1[[#This Row],[Fecha]],"DD")</f>
        <v>01</v>
      </c>
      <c r="M367" t="str">
        <f>TEXT(Tabla1[[#This Row],[Fecha]],"yyyy")</f>
        <v>2025</v>
      </c>
      <c r="N367">
        <f>MONTH(Tabla1[[#This Row],[Fecha]])</f>
        <v>10</v>
      </c>
      <c r="O367" s="2" t="str">
        <f t="shared" si="11"/>
        <v>T4-25</v>
      </c>
    </row>
    <row r="368" spans="1:15" x14ac:dyDescent="0.25">
      <c r="A368" s="8">
        <v>367</v>
      </c>
      <c r="B368" t="s">
        <v>45</v>
      </c>
      <c r="C368" t="s">
        <v>46</v>
      </c>
      <c r="D368" t="s">
        <v>38</v>
      </c>
      <c r="E368" t="s">
        <v>52</v>
      </c>
      <c r="F368" t="s">
        <v>35</v>
      </c>
      <c r="G368" t="s">
        <v>24</v>
      </c>
      <c r="H368">
        <v>22</v>
      </c>
      <c r="I368" s="2">
        <v>1000</v>
      </c>
      <c r="J368">
        <f t="shared" si="10"/>
        <v>22000</v>
      </c>
      <c r="K368" t="str">
        <f>TEXT(Tabla1[[#This Row],[Fecha]],"MMMM")</f>
        <v>April</v>
      </c>
      <c r="L368" t="str">
        <f>TEXT(Tabla1[[#This Row],[Fecha]],"DD")</f>
        <v>30</v>
      </c>
      <c r="M368" t="str">
        <f>TEXT(Tabla1[[#This Row],[Fecha]],"yyyy")</f>
        <v>2025</v>
      </c>
      <c r="N368">
        <f>MONTH(Tabla1[[#This Row],[Fecha]])</f>
        <v>4</v>
      </c>
      <c r="O368" s="2" t="str">
        <f t="shared" si="11"/>
        <v>T2-25</v>
      </c>
    </row>
    <row r="369" spans="1:15" x14ac:dyDescent="0.25">
      <c r="A369" s="8">
        <v>368</v>
      </c>
      <c r="B369" t="s">
        <v>239</v>
      </c>
      <c r="C369" t="s">
        <v>49</v>
      </c>
      <c r="D369" t="s">
        <v>21</v>
      </c>
      <c r="E369" t="s">
        <v>61</v>
      </c>
      <c r="F369" t="s">
        <v>33</v>
      </c>
      <c r="G369" t="s">
        <v>24</v>
      </c>
      <c r="H369">
        <v>9</v>
      </c>
      <c r="I369" s="2">
        <v>672</v>
      </c>
      <c r="J369">
        <f t="shared" si="10"/>
        <v>6048</v>
      </c>
      <c r="K369" t="str">
        <f>TEXT(Tabla1[[#This Row],[Fecha]],"MMMM")</f>
        <v>January</v>
      </c>
      <c r="L369" t="str">
        <f>TEXT(Tabla1[[#This Row],[Fecha]],"DD")</f>
        <v>23</v>
      </c>
      <c r="M369" t="str">
        <f>TEXT(Tabla1[[#This Row],[Fecha]],"yyyy")</f>
        <v>2025</v>
      </c>
      <c r="N369">
        <f>MONTH(Tabla1[[#This Row],[Fecha]])</f>
        <v>1</v>
      </c>
      <c r="O369" s="2" t="str">
        <f t="shared" si="11"/>
        <v>T1-25</v>
      </c>
    </row>
    <row r="370" spans="1:15" x14ac:dyDescent="0.25">
      <c r="A370" s="8">
        <v>369</v>
      </c>
      <c r="B370" t="s">
        <v>237</v>
      </c>
      <c r="C370" t="s">
        <v>30</v>
      </c>
      <c r="D370" t="s">
        <v>17</v>
      </c>
      <c r="E370" t="s">
        <v>52</v>
      </c>
      <c r="F370" t="s">
        <v>18</v>
      </c>
      <c r="G370" t="s">
        <v>14</v>
      </c>
      <c r="H370">
        <v>12</v>
      </c>
      <c r="I370" s="2">
        <v>3322</v>
      </c>
      <c r="J370">
        <f t="shared" si="10"/>
        <v>39864</v>
      </c>
      <c r="K370" t="str">
        <f>TEXT(Tabla1[[#This Row],[Fecha]],"MMMM")</f>
        <v>October</v>
      </c>
      <c r="L370" t="str">
        <f>TEXT(Tabla1[[#This Row],[Fecha]],"DD")</f>
        <v>09</v>
      </c>
      <c r="M370" t="str">
        <f>TEXT(Tabla1[[#This Row],[Fecha]],"yyyy")</f>
        <v>2024</v>
      </c>
      <c r="N370">
        <f>MONTH(Tabla1[[#This Row],[Fecha]])</f>
        <v>10</v>
      </c>
      <c r="O370" s="2" t="str">
        <f t="shared" si="11"/>
        <v>T4-24</v>
      </c>
    </row>
    <row r="371" spans="1:15" x14ac:dyDescent="0.25">
      <c r="A371" s="8">
        <v>370</v>
      </c>
      <c r="B371" t="s">
        <v>78</v>
      </c>
      <c r="C371" t="s">
        <v>10</v>
      </c>
      <c r="D371" t="s">
        <v>11</v>
      </c>
      <c r="E371" t="s">
        <v>22</v>
      </c>
      <c r="F371" t="s">
        <v>42</v>
      </c>
      <c r="G371" t="s">
        <v>14</v>
      </c>
      <c r="H371">
        <v>20</v>
      </c>
      <c r="I371" s="2">
        <v>2598</v>
      </c>
      <c r="J371">
        <f t="shared" si="10"/>
        <v>51960</v>
      </c>
      <c r="K371" t="str">
        <f>TEXT(Tabla1[[#This Row],[Fecha]],"MMMM")</f>
        <v>April</v>
      </c>
      <c r="L371" t="str">
        <f>TEXT(Tabla1[[#This Row],[Fecha]],"DD")</f>
        <v>15</v>
      </c>
      <c r="M371" t="str">
        <f>TEXT(Tabla1[[#This Row],[Fecha]],"yyyy")</f>
        <v>2025</v>
      </c>
      <c r="N371">
        <f>MONTH(Tabla1[[#This Row],[Fecha]])</f>
        <v>4</v>
      </c>
      <c r="O371" s="2" t="str">
        <f t="shared" si="11"/>
        <v>T2-25</v>
      </c>
    </row>
    <row r="372" spans="1:15" x14ac:dyDescent="0.25">
      <c r="A372" s="8">
        <v>371</v>
      </c>
      <c r="B372" t="s">
        <v>136</v>
      </c>
      <c r="C372" t="s">
        <v>66</v>
      </c>
      <c r="D372" t="s">
        <v>17</v>
      </c>
      <c r="E372" t="s">
        <v>41</v>
      </c>
      <c r="F372" t="s">
        <v>18</v>
      </c>
      <c r="G372" t="s">
        <v>24</v>
      </c>
      <c r="H372">
        <v>1</v>
      </c>
      <c r="I372" s="2">
        <v>2969</v>
      </c>
      <c r="J372">
        <f t="shared" si="10"/>
        <v>2969</v>
      </c>
      <c r="K372" t="str">
        <f>TEXT(Tabla1[[#This Row],[Fecha]],"MMMM")</f>
        <v>May</v>
      </c>
      <c r="L372" t="str">
        <f>TEXT(Tabla1[[#This Row],[Fecha]],"DD")</f>
        <v>21</v>
      </c>
      <c r="M372" t="str">
        <f>TEXT(Tabla1[[#This Row],[Fecha]],"yyyy")</f>
        <v>2024</v>
      </c>
      <c r="N372">
        <f>MONTH(Tabla1[[#This Row],[Fecha]])</f>
        <v>5</v>
      </c>
      <c r="O372" s="2" t="str">
        <f t="shared" si="11"/>
        <v>T2-24</v>
      </c>
    </row>
    <row r="373" spans="1:15" x14ac:dyDescent="0.25">
      <c r="A373" s="8">
        <v>372</v>
      </c>
      <c r="B373" t="s">
        <v>356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>
        <v>24</v>
      </c>
      <c r="I373" s="2">
        <v>4316</v>
      </c>
      <c r="J373">
        <f t="shared" si="10"/>
        <v>103584</v>
      </c>
      <c r="K373" t="str">
        <f>TEXT(Tabla1[[#This Row],[Fecha]],"MMMM")</f>
        <v>November</v>
      </c>
      <c r="L373" t="str">
        <f>TEXT(Tabla1[[#This Row],[Fecha]],"DD")</f>
        <v>09</v>
      </c>
      <c r="M373" t="str">
        <f>TEXT(Tabla1[[#This Row],[Fecha]],"yyyy")</f>
        <v>2023</v>
      </c>
      <c r="N373">
        <f>MONTH(Tabla1[[#This Row],[Fecha]])</f>
        <v>11</v>
      </c>
      <c r="O373" s="2" t="str">
        <f t="shared" si="11"/>
        <v>T4-23</v>
      </c>
    </row>
    <row r="374" spans="1:15" x14ac:dyDescent="0.25">
      <c r="A374" s="8">
        <v>373</v>
      </c>
      <c r="B374" t="s">
        <v>357</v>
      </c>
      <c r="C374" t="s">
        <v>16</v>
      </c>
      <c r="D374" t="s">
        <v>17</v>
      </c>
      <c r="E374" t="s">
        <v>41</v>
      </c>
      <c r="F374" t="s">
        <v>23</v>
      </c>
      <c r="G374" t="s">
        <v>24</v>
      </c>
      <c r="H374">
        <v>12</v>
      </c>
      <c r="I374" s="2">
        <v>3900</v>
      </c>
      <c r="J374">
        <f t="shared" si="10"/>
        <v>46800</v>
      </c>
      <c r="K374" t="str">
        <f>TEXT(Tabla1[[#This Row],[Fecha]],"MMMM")</f>
        <v>November</v>
      </c>
      <c r="L374" t="str">
        <f>TEXT(Tabla1[[#This Row],[Fecha]],"DD")</f>
        <v>14</v>
      </c>
      <c r="M374" t="str">
        <f>TEXT(Tabla1[[#This Row],[Fecha]],"yyyy")</f>
        <v>2024</v>
      </c>
      <c r="N374">
        <f>MONTH(Tabla1[[#This Row],[Fecha]])</f>
        <v>11</v>
      </c>
      <c r="O374" s="2" t="str">
        <f t="shared" si="11"/>
        <v>T4-24</v>
      </c>
    </row>
    <row r="375" spans="1:15" x14ac:dyDescent="0.25">
      <c r="A375" s="8">
        <v>374</v>
      </c>
      <c r="B375" t="s">
        <v>358</v>
      </c>
      <c r="C375" t="s">
        <v>20</v>
      </c>
      <c r="D375" t="s">
        <v>21</v>
      </c>
      <c r="E375" t="s">
        <v>44</v>
      </c>
      <c r="F375" t="s">
        <v>18</v>
      </c>
      <c r="G375" t="s">
        <v>14</v>
      </c>
      <c r="H375">
        <v>10</v>
      </c>
      <c r="I375" s="2">
        <v>1709</v>
      </c>
      <c r="J375">
        <f t="shared" si="10"/>
        <v>17090</v>
      </c>
      <c r="K375" t="str">
        <f>TEXT(Tabla1[[#This Row],[Fecha]],"MMMM")</f>
        <v>August</v>
      </c>
      <c r="L375" t="str">
        <f>TEXT(Tabla1[[#This Row],[Fecha]],"DD")</f>
        <v>08</v>
      </c>
      <c r="M375" t="str">
        <f>TEXT(Tabla1[[#This Row],[Fecha]],"yyyy")</f>
        <v>2023</v>
      </c>
      <c r="N375">
        <f>MONTH(Tabla1[[#This Row],[Fecha]])</f>
        <v>8</v>
      </c>
      <c r="O375" s="2" t="str">
        <f t="shared" si="11"/>
        <v>T3-23</v>
      </c>
    </row>
    <row r="376" spans="1:15" x14ac:dyDescent="0.25">
      <c r="A376" s="8">
        <v>375</v>
      </c>
      <c r="B376" t="s">
        <v>359</v>
      </c>
      <c r="C376" t="s">
        <v>30</v>
      </c>
      <c r="D376" t="s">
        <v>17</v>
      </c>
      <c r="E376" t="s">
        <v>58</v>
      </c>
      <c r="F376" t="s">
        <v>28</v>
      </c>
      <c r="G376" t="s">
        <v>24</v>
      </c>
      <c r="H376">
        <v>9</v>
      </c>
      <c r="I376" s="2">
        <v>2080</v>
      </c>
      <c r="J376">
        <f t="shared" si="10"/>
        <v>18720</v>
      </c>
      <c r="K376" t="str">
        <f>TEXT(Tabla1[[#This Row],[Fecha]],"MMMM")</f>
        <v>May</v>
      </c>
      <c r="L376" t="str">
        <f>TEXT(Tabla1[[#This Row],[Fecha]],"DD")</f>
        <v>31</v>
      </c>
      <c r="M376" t="str">
        <f>TEXT(Tabla1[[#This Row],[Fecha]],"yyyy")</f>
        <v>2023</v>
      </c>
      <c r="N376">
        <f>MONTH(Tabla1[[#This Row],[Fecha]])</f>
        <v>5</v>
      </c>
      <c r="O376" s="2" t="str">
        <f t="shared" si="11"/>
        <v>T2-23</v>
      </c>
    </row>
    <row r="377" spans="1:15" x14ac:dyDescent="0.25">
      <c r="A377" s="8">
        <v>376</v>
      </c>
      <c r="B377" t="s">
        <v>360</v>
      </c>
      <c r="C377" t="s">
        <v>10</v>
      </c>
      <c r="D377" t="s">
        <v>11</v>
      </c>
      <c r="E377" t="s">
        <v>50</v>
      </c>
      <c r="F377" t="s">
        <v>35</v>
      </c>
      <c r="G377" t="s">
        <v>14</v>
      </c>
      <c r="H377">
        <v>20</v>
      </c>
      <c r="I377" s="2">
        <v>2622</v>
      </c>
      <c r="J377">
        <f t="shared" si="10"/>
        <v>52440</v>
      </c>
      <c r="K377" t="str">
        <f>TEXT(Tabla1[[#This Row],[Fecha]],"MMMM")</f>
        <v>September</v>
      </c>
      <c r="L377" t="str">
        <f>TEXT(Tabla1[[#This Row],[Fecha]],"DD")</f>
        <v>06</v>
      </c>
      <c r="M377" t="str">
        <f>TEXT(Tabla1[[#This Row],[Fecha]],"yyyy")</f>
        <v>2023</v>
      </c>
      <c r="N377">
        <f>MONTH(Tabla1[[#This Row],[Fecha]])</f>
        <v>9</v>
      </c>
      <c r="O377" s="2" t="str">
        <f t="shared" si="11"/>
        <v>T3-23</v>
      </c>
    </row>
    <row r="378" spans="1:15" x14ac:dyDescent="0.25">
      <c r="A378" s="8">
        <v>377</v>
      </c>
      <c r="B378" t="s">
        <v>361</v>
      </c>
      <c r="C378" t="s">
        <v>30</v>
      </c>
      <c r="D378" t="s">
        <v>17</v>
      </c>
      <c r="E378" t="s">
        <v>72</v>
      </c>
      <c r="F378" t="s">
        <v>33</v>
      </c>
      <c r="G378" t="s">
        <v>14</v>
      </c>
      <c r="H378">
        <v>11</v>
      </c>
      <c r="I378" s="2">
        <v>2060</v>
      </c>
      <c r="J378">
        <f t="shared" si="10"/>
        <v>22660</v>
      </c>
      <c r="K378" t="str">
        <f>TEXT(Tabla1[[#This Row],[Fecha]],"MMMM")</f>
        <v>February</v>
      </c>
      <c r="L378" t="str">
        <f>TEXT(Tabla1[[#This Row],[Fecha]],"DD")</f>
        <v>23</v>
      </c>
      <c r="M378" t="str">
        <f>TEXT(Tabla1[[#This Row],[Fecha]],"yyyy")</f>
        <v>2025</v>
      </c>
      <c r="N378">
        <f>MONTH(Tabla1[[#This Row],[Fecha]])</f>
        <v>2</v>
      </c>
      <c r="O378" s="2" t="str">
        <f t="shared" si="11"/>
        <v>T1-25</v>
      </c>
    </row>
    <row r="379" spans="1:15" x14ac:dyDescent="0.25">
      <c r="A379" s="8">
        <v>378</v>
      </c>
      <c r="B379" t="s">
        <v>362</v>
      </c>
      <c r="C379" t="s">
        <v>66</v>
      </c>
      <c r="D379" t="s">
        <v>17</v>
      </c>
      <c r="E379" t="s">
        <v>12</v>
      </c>
      <c r="F379" t="s">
        <v>28</v>
      </c>
      <c r="G379" t="s">
        <v>14</v>
      </c>
      <c r="H379">
        <v>21</v>
      </c>
      <c r="I379" s="2">
        <v>2968</v>
      </c>
      <c r="J379">
        <f t="shared" si="10"/>
        <v>62328</v>
      </c>
      <c r="K379" t="str">
        <f>TEXT(Tabla1[[#This Row],[Fecha]],"MMMM")</f>
        <v>September</v>
      </c>
      <c r="L379" t="str">
        <f>TEXT(Tabla1[[#This Row],[Fecha]],"DD")</f>
        <v>10</v>
      </c>
      <c r="M379" t="str">
        <f>TEXT(Tabla1[[#This Row],[Fecha]],"yyyy")</f>
        <v>2024</v>
      </c>
      <c r="N379">
        <f>MONTH(Tabla1[[#This Row],[Fecha]])</f>
        <v>9</v>
      </c>
      <c r="O379" s="2" t="str">
        <f t="shared" si="11"/>
        <v>T3-24</v>
      </c>
    </row>
    <row r="380" spans="1:15" x14ac:dyDescent="0.25">
      <c r="A380" s="8">
        <v>379</v>
      </c>
      <c r="B380" t="s">
        <v>363</v>
      </c>
      <c r="C380" t="s">
        <v>30</v>
      </c>
      <c r="D380" t="s">
        <v>17</v>
      </c>
      <c r="E380" t="s">
        <v>22</v>
      </c>
      <c r="F380" t="s">
        <v>35</v>
      </c>
      <c r="G380" t="s">
        <v>24</v>
      </c>
      <c r="H380">
        <v>11</v>
      </c>
      <c r="I380" s="2">
        <v>117</v>
      </c>
      <c r="J380">
        <f t="shared" si="10"/>
        <v>1287</v>
      </c>
      <c r="K380" t="str">
        <f>TEXT(Tabla1[[#This Row],[Fecha]],"MMMM")</f>
        <v>October</v>
      </c>
      <c r="L380" t="str">
        <f>TEXT(Tabla1[[#This Row],[Fecha]],"DD")</f>
        <v>27</v>
      </c>
      <c r="M380" t="str">
        <f>TEXT(Tabla1[[#This Row],[Fecha]],"yyyy")</f>
        <v>2024</v>
      </c>
      <c r="N380">
        <f>MONTH(Tabla1[[#This Row],[Fecha]])</f>
        <v>10</v>
      </c>
      <c r="O380" s="2" t="str">
        <f t="shared" si="11"/>
        <v>T4-24</v>
      </c>
    </row>
    <row r="381" spans="1:15" x14ac:dyDescent="0.25">
      <c r="A381" s="8">
        <v>380</v>
      </c>
      <c r="B381" t="s">
        <v>364</v>
      </c>
      <c r="C381" t="s">
        <v>49</v>
      </c>
      <c r="D381" t="s">
        <v>21</v>
      </c>
      <c r="E381" t="s">
        <v>32</v>
      </c>
      <c r="F381" t="s">
        <v>13</v>
      </c>
      <c r="G381" t="s">
        <v>14</v>
      </c>
      <c r="H381">
        <v>9</v>
      </c>
      <c r="I381" s="2">
        <v>1049</v>
      </c>
      <c r="J381">
        <f t="shared" si="10"/>
        <v>9441</v>
      </c>
      <c r="K381" t="str">
        <f>TEXT(Tabla1[[#This Row],[Fecha]],"MMMM")</f>
        <v>August</v>
      </c>
      <c r="L381" t="str">
        <f>TEXT(Tabla1[[#This Row],[Fecha]],"DD")</f>
        <v>11</v>
      </c>
      <c r="M381" t="str">
        <f>TEXT(Tabla1[[#This Row],[Fecha]],"yyyy")</f>
        <v>2023</v>
      </c>
      <c r="N381">
        <f>MONTH(Tabla1[[#This Row],[Fecha]])</f>
        <v>8</v>
      </c>
      <c r="O381" s="2" t="str">
        <f t="shared" si="11"/>
        <v>T3-23</v>
      </c>
    </row>
    <row r="382" spans="1:15" x14ac:dyDescent="0.25">
      <c r="A382" s="8">
        <v>381</v>
      </c>
      <c r="B382" t="s">
        <v>365</v>
      </c>
      <c r="C382" t="s">
        <v>16</v>
      </c>
      <c r="D382" t="s">
        <v>17</v>
      </c>
      <c r="E382" t="s">
        <v>72</v>
      </c>
      <c r="F382" t="s">
        <v>23</v>
      </c>
      <c r="G382" t="s">
        <v>24</v>
      </c>
      <c r="H382">
        <v>3</v>
      </c>
      <c r="I382" s="2">
        <v>3756</v>
      </c>
      <c r="J382">
        <f t="shared" si="10"/>
        <v>11268</v>
      </c>
      <c r="K382" t="str">
        <f>TEXT(Tabla1[[#This Row],[Fecha]],"MMMM")</f>
        <v>January</v>
      </c>
      <c r="L382" t="str">
        <f>TEXT(Tabla1[[#This Row],[Fecha]],"DD")</f>
        <v>03</v>
      </c>
      <c r="M382" t="str">
        <f>TEXT(Tabla1[[#This Row],[Fecha]],"yyyy")</f>
        <v>2023</v>
      </c>
      <c r="N382">
        <f>MONTH(Tabla1[[#This Row],[Fecha]])</f>
        <v>1</v>
      </c>
      <c r="O382" s="2" t="str">
        <f t="shared" si="11"/>
        <v>T1-23</v>
      </c>
    </row>
    <row r="383" spans="1:15" x14ac:dyDescent="0.25">
      <c r="A383" s="8">
        <v>382</v>
      </c>
      <c r="B383" t="s">
        <v>366</v>
      </c>
      <c r="C383" t="s">
        <v>10</v>
      </c>
      <c r="D383" t="s">
        <v>11</v>
      </c>
      <c r="E383" t="s">
        <v>72</v>
      </c>
      <c r="F383" t="s">
        <v>33</v>
      </c>
      <c r="G383" t="s">
        <v>14</v>
      </c>
      <c r="H383">
        <v>20</v>
      </c>
      <c r="I383" s="2">
        <v>3069</v>
      </c>
      <c r="J383">
        <f t="shared" si="10"/>
        <v>61380</v>
      </c>
      <c r="K383" t="str">
        <f>TEXT(Tabla1[[#This Row],[Fecha]],"MMMM")</f>
        <v>March</v>
      </c>
      <c r="L383" t="str">
        <f>TEXT(Tabla1[[#This Row],[Fecha]],"DD")</f>
        <v>10</v>
      </c>
      <c r="M383" t="str">
        <f>TEXT(Tabla1[[#This Row],[Fecha]],"yyyy")</f>
        <v>2023</v>
      </c>
      <c r="N383">
        <f>MONTH(Tabla1[[#This Row],[Fecha]])</f>
        <v>3</v>
      </c>
      <c r="O383" s="2" t="str">
        <f t="shared" si="11"/>
        <v>T1-23</v>
      </c>
    </row>
    <row r="384" spans="1:15" x14ac:dyDescent="0.25">
      <c r="A384" s="8">
        <v>383</v>
      </c>
      <c r="B384" t="s">
        <v>256</v>
      </c>
      <c r="C384" t="s">
        <v>10</v>
      </c>
      <c r="D384" t="s">
        <v>11</v>
      </c>
      <c r="E384" t="s">
        <v>58</v>
      </c>
      <c r="F384" t="s">
        <v>33</v>
      </c>
      <c r="G384" t="s">
        <v>24</v>
      </c>
      <c r="H384">
        <v>24</v>
      </c>
      <c r="I384" s="2">
        <v>2394</v>
      </c>
      <c r="J384">
        <f t="shared" si="10"/>
        <v>57456</v>
      </c>
      <c r="K384" t="str">
        <f>TEXT(Tabla1[[#This Row],[Fecha]],"MMMM")</f>
        <v>July</v>
      </c>
      <c r="L384" t="str">
        <f>TEXT(Tabla1[[#This Row],[Fecha]],"DD")</f>
        <v>13</v>
      </c>
      <c r="M384" t="str">
        <f>TEXT(Tabla1[[#This Row],[Fecha]],"yyyy")</f>
        <v>2025</v>
      </c>
      <c r="N384">
        <f>MONTH(Tabla1[[#This Row],[Fecha]])</f>
        <v>7</v>
      </c>
      <c r="O384" s="2" t="str">
        <f t="shared" si="11"/>
        <v>T3-25</v>
      </c>
    </row>
    <row r="385" spans="1:15" x14ac:dyDescent="0.25">
      <c r="A385" s="8">
        <v>384</v>
      </c>
      <c r="B385" t="s">
        <v>367</v>
      </c>
      <c r="C385" t="s">
        <v>37</v>
      </c>
      <c r="D385" t="s">
        <v>38</v>
      </c>
      <c r="E385" t="s">
        <v>58</v>
      </c>
      <c r="F385" t="s">
        <v>33</v>
      </c>
      <c r="G385" t="s">
        <v>24</v>
      </c>
      <c r="H385">
        <v>3</v>
      </c>
      <c r="I385" s="2">
        <v>4124</v>
      </c>
      <c r="J385">
        <f t="shared" si="10"/>
        <v>12372</v>
      </c>
      <c r="K385" t="str">
        <f>TEXT(Tabla1[[#This Row],[Fecha]],"MMMM")</f>
        <v>June</v>
      </c>
      <c r="L385" t="str">
        <f>TEXT(Tabla1[[#This Row],[Fecha]],"DD")</f>
        <v>19</v>
      </c>
      <c r="M385" t="str">
        <f>TEXT(Tabla1[[#This Row],[Fecha]],"yyyy")</f>
        <v>2024</v>
      </c>
      <c r="N385">
        <f>MONTH(Tabla1[[#This Row],[Fecha]])</f>
        <v>6</v>
      </c>
      <c r="O385" s="2" t="str">
        <f t="shared" si="11"/>
        <v>T2-24</v>
      </c>
    </row>
    <row r="386" spans="1:15" x14ac:dyDescent="0.25">
      <c r="A386" s="8">
        <v>385</v>
      </c>
      <c r="B386" t="s">
        <v>188</v>
      </c>
      <c r="C386" t="s">
        <v>69</v>
      </c>
      <c r="D386" t="s">
        <v>17</v>
      </c>
      <c r="E386" t="s">
        <v>32</v>
      </c>
      <c r="F386" t="s">
        <v>42</v>
      </c>
      <c r="G386" t="s">
        <v>14</v>
      </c>
      <c r="H386">
        <v>20</v>
      </c>
      <c r="I386" s="2">
        <v>3536</v>
      </c>
      <c r="J386">
        <f t="shared" ref="J386:J401" si="12">I386*H386</f>
        <v>70720</v>
      </c>
      <c r="K386" t="str">
        <f>TEXT(Tabla1[[#This Row],[Fecha]],"MMMM")</f>
        <v>June</v>
      </c>
      <c r="L386" t="str">
        <f>TEXT(Tabla1[[#This Row],[Fecha]],"DD")</f>
        <v>25</v>
      </c>
      <c r="M386" t="str">
        <f>TEXT(Tabla1[[#This Row],[Fecha]],"yyyy")</f>
        <v>2023</v>
      </c>
      <c r="N386">
        <f>MONTH(Tabla1[[#This Row],[Fecha]])</f>
        <v>6</v>
      </c>
      <c r="O386" s="2" t="str">
        <f t="shared" ref="O386:O401" si="13">"T"&amp;ROUNDUP(MONTH(B386)/3,0)&amp;"-"&amp;RIGHT(YEAR(B386),2)</f>
        <v>T2-23</v>
      </c>
    </row>
    <row r="387" spans="1:15" x14ac:dyDescent="0.25">
      <c r="A387" s="8">
        <v>386</v>
      </c>
      <c r="B387" t="s">
        <v>347</v>
      </c>
      <c r="C387" t="s">
        <v>16</v>
      </c>
      <c r="D387" t="s">
        <v>17</v>
      </c>
      <c r="E387" t="s">
        <v>41</v>
      </c>
      <c r="F387" t="s">
        <v>33</v>
      </c>
      <c r="G387" t="s">
        <v>24</v>
      </c>
      <c r="H387">
        <v>19</v>
      </c>
      <c r="I387" s="2">
        <v>4813</v>
      </c>
      <c r="J387">
        <f t="shared" si="12"/>
        <v>91447</v>
      </c>
      <c r="K387" t="str">
        <f>TEXT(Tabla1[[#This Row],[Fecha]],"MMMM")</f>
        <v>May</v>
      </c>
      <c r="L387" t="str">
        <f>TEXT(Tabla1[[#This Row],[Fecha]],"DD")</f>
        <v>03</v>
      </c>
      <c r="M387" t="str">
        <f>TEXT(Tabla1[[#This Row],[Fecha]],"yyyy")</f>
        <v>2023</v>
      </c>
      <c r="N387">
        <f>MONTH(Tabla1[[#This Row],[Fecha]])</f>
        <v>5</v>
      </c>
      <c r="O387" s="2" t="str">
        <f t="shared" si="13"/>
        <v>T2-23</v>
      </c>
    </row>
    <row r="388" spans="1:15" x14ac:dyDescent="0.25">
      <c r="A388" s="8">
        <v>387</v>
      </c>
      <c r="B388" t="s">
        <v>368</v>
      </c>
      <c r="C388" t="s">
        <v>26</v>
      </c>
      <c r="D388" t="s">
        <v>27</v>
      </c>
      <c r="E388" t="s">
        <v>44</v>
      </c>
      <c r="F388" t="s">
        <v>18</v>
      </c>
      <c r="G388" t="s">
        <v>14</v>
      </c>
      <c r="H388">
        <v>10</v>
      </c>
      <c r="I388" s="2">
        <v>440</v>
      </c>
      <c r="J388">
        <f t="shared" si="12"/>
        <v>4400</v>
      </c>
      <c r="K388" t="str">
        <f>TEXT(Tabla1[[#This Row],[Fecha]],"MMMM")</f>
        <v>November</v>
      </c>
      <c r="L388" t="str">
        <f>TEXT(Tabla1[[#This Row],[Fecha]],"DD")</f>
        <v>03</v>
      </c>
      <c r="M388" t="str">
        <f>TEXT(Tabla1[[#This Row],[Fecha]],"yyyy")</f>
        <v>2023</v>
      </c>
      <c r="N388">
        <f>MONTH(Tabla1[[#This Row],[Fecha]])</f>
        <v>11</v>
      </c>
      <c r="O388" s="2" t="str">
        <f t="shared" si="13"/>
        <v>T4-23</v>
      </c>
    </row>
    <row r="389" spans="1:15" x14ac:dyDescent="0.25">
      <c r="A389" s="8">
        <v>388</v>
      </c>
      <c r="B389" t="s">
        <v>369</v>
      </c>
      <c r="C389" t="s">
        <v>10</v>
      </c>
      <c r="D389" t="s">
        <v>11</v>
      </c>
      <c r="E389" t="s">
        <v>58</v>
      </c>
      <c r="F389" t="s">
        <v>28</v>
      </c>
      <c r="G389" t="s">
        <v>14</v>
      </c>
      <c r="H389">
        <v>4</v>
      </c>
      <c r="I389" s="2">
        <v>1324</v>
      </c>
      <c r="J389">
        <f t="shared" si="12"/>
        <v>5296</v>
      </c>
      <c r="K389" t="str">
        <f>TEXT(Tabla1[[#This Row],[Fecha]],"MMMM")</f>
        <v>August</v>
      </c>
      <c r="L389" t="str">
        <f>TEXT(Tabla1[[#This Row],[Fecha]],"DD")</f>
        <v>21</v>
      </c>
      <c r="M389" t="str">
        <f>TEXT(Tabla1[[#This Row],[Fecha]],"yyyy")</f>
        <v>2023</v>
      </c>
      <c r="N389">
        <f>MONTH(Tabla1[[#This Row],[Fecha]])</f>
        <v>8</v>
      </c>
      <c r="O389" s="2" t="str">
        <f t="shared" si="13"/>
        <v>T3-23</v>
      </c>
    </row>
    <row r="390" spans="1:15" x14ac:dyDescent="0.25">
      <c r="A390" s="8">
        <v>389</v>
      </c>
      <c r="B390" t="s">
        <v>370</v>
      </c>
      <c r="C390" t="s">
        <v>20</v>
      </c>
      <c r="D390" t="s">
        <v>21</v>
      </c>
      <c r="E390" t="s">
        <v>72</v>
      </c>
      <c r="F390" t="s">
        <v>35</v>
      </c>
      <c r="G390" t="s">
        <v>24</v>
      </c>
      <c r="H390">
        <v>9</v>
      </c>
      <c r="I390" s="2">
        <v>3692</v>
      </c>
      <c r="J390">
        <f t="shared" si="12"/>
        <v>33228</v>
      </c>
      <c r="K390" t="str">
        <f>TEXT(Tabla1[[#This Row],[Fecha]],"MMMM")</f>
        <v>September</v>
      </c>
      <c r="L390" t="str">
        <f>TEXT(Tabla1[[#This Row],[Fecha]],"DD")</f>
        <v>20</v>
      </c>
      <c r="M390" t="str">
        <f>TEXT(Tabla1[[#This Row],[Fecha]],"yyyy")</f>
        <v>2023</v>
      </c>
      <c r="N390">
        <f>MONTH(Tabla1[[#This Row],[Fecha]])</f>
        <v>9</v>
      </c>
      <c r="O390" s="2" t="str">
        <f t="shared" si="13"/>
        <v>T3-23</v>
      </c>
    </row>
    <row r="391" spans="1:15" x14ac:dyDescent="0.25">
      <c r="A391" s="8">
        <v>390</v>
      </c>
      <c r="B391" t="s">
        <v>371</v>
      </c>
      <c r="C391" t="s">
        <v>69</v>
      </c>
      <c r="D391" t="s">
        <v>17</v>
      </c>
      <c r="E391" t="s">
        <v>22</v>
      </c>
      <c r="F391" t="s">
        <v>13</v>
      </c>
      <c r="G391" t="s">
        <v>14</v>
      </c>
      <c r="H391">
        <v>2</v>
      </c>
      <c r="I391" s="2">
        <v>2070</v>
      </c>
      <c r="J391">
        <f t="shared" si="12"/>
        <v>4140</v>
      </c>
      <c r="K391" t="str">
        <f>TEXT(Tabla1[[#This Row],[Fecha]],"MMMM")</f>
        <v>October</v>
      </c>
      <c r="L391" t="str">
        <f>TEXT(Tabla1[[#This Row],[Fecha]],"DD")</f>
        <v>20</v>
      </c>
      <c r="M391" t="str">
        <f>TEXT(Tabla1[[#This Row],[Fecha]],"yyyy")</f>
        <v>2023</v>
      </c>
      <c r="N391">
        <f>MONTH(Tabla1[[#This Row],[Fecha]])</f>
        <v>10</v>
      </c>
      <c r="O391" s="2" t="str">
        <f t="shared" si="13"/>
        <v>T4-23</v>
      </c>
    </row>
    <row r="392" spans="1:15" x14ac:dyDescent="0.25">
      <c r="A392" s="8">
        <v>391</v>
      </c>
      <c r="B392" t="s">
        <v>372</v>
      </c>
      <c r="C392" t="s">
        <v>46</v>
      </c>
      <c r="D392" t="s">
        <v>38</v>
      </c>
      <c r="E392" t="s">
        <v>41</v>
      </c>
      <c r="F392" t="s">
        <v>33</v>
      </c>
      <c r="G392" t="s">
        <v>24</v>
      </c>
      <c r="H392">
        <v>16</v>
      </c>
      <c r="I392" s="2">
        <v>1469</v>
      </c>
      <c r="J392">
        <f t="shared" si="12"/>
        <v>23504</v>
      </c>
      <c r="K392" t="str">
        <f>TEXT(Tabla1[[#This Row],[Fecha]],"MMMM")</f>
        <v>March</v>
      </c>
      <c r="L392" t="str">
        <f>TEXT(Tabla1[[#This Row],[Fecha]],"DD")</f>
        <v>22</v>
      </c>
      <c r="M392" t="str">
        <f>TEXT(Tabla1[[#This Row],[Fecha]],"yyyy")</f>
        <v>2024</v>
      </c>
      <c r="N392">
        <f>MONTH(Tabla1[[#This Row],[Fecha]])</f>
        <v>3</v>
      </c>
      <c r="O392" s="2" t="str">
        <f t="shared" si="13"/>
        <v>T1-24</v>
      </c>
    </row>
    <row r="393" spans="1:15" x14ac:dyDescent="0.25">
      <c r="A393" s="8">
        <v>392</v>
      </c>
      <c r="B393" t="s">
        <v>31</v>
      </c>
      <c r="C393" t="s">
        <v>69</v>
      </c>
      <c r="D393" t="s">
        <v>17</v>
      </c>
      <c r="E393" t="s">
        <v>61</v>
      </c>
      <c r="F393" t="s">
        <v>28</v>
      </c>
      <c r="G393" t="s">
        <v>14</v>
      </c>
      <c r="H393">
        <v>18</v>
      </c>
      <c r="I393" s="2">
        <v>1731</v>
      </c>
      <c r="J393">
        <f t="shared" si="12"/>
        <v>31158</v>
      </c>
      <c r="K393" t="str">
        <f>TEXT(Tabla1[[#This Row],[Fecha]],"MMMM")</f>
        <v>April</v>
      </c>
      <c r="L393" t="str">
        <f>TEXT(Tabla1[[#This Row],[Fecha]],"DD")</f>
        <v>10</v>
      </c>
      <c r="M393" t="str">
        <f>TEXT(Tabla1[[#This Row],[Fecha]],"yyyy")</f>
        <v>2024</v>
      </c>
      <c r="N393">
        <f>MONTH(Tabla1[[#This Row],[Fecha]])</f>
        <v>4</v>
      </c>
      <c r="O393" s="2" t="str">
        <f t="shared" si="13"/>
        <v>T2-24</v>
      </c>
    </row>
    <row r="394" spans="1:15" x14ac:dyDescent="0.25">
      <c r="A394" s="8">
        <v>393</v>
      </c>
      <c r="B394" t="s">
        <v>102</v>
      </c>
      <c r="C394" t="s">
        <v>20</v>
      </c>
      <c r="D394" t="s">
        <v>21</v>
      </c>
      <c r="E394" t="s">
        <v>52</v>
      </c>
      <c r="F394" t="s">
        <v>42</v>
      </c>
      <c r="G394" t="s">
        <v>14</v>
      </c>
      <c r="H394">
        <v>22</v>
      </c>
      <c r="I394" s="2">
        <v>1171</v>
      </c>
      <c r="J394">
        <f t="shared" si="12"/>
        <v>25762</v>
      </c>
      <c r="K394" t="str">
        <f>TEXT(Tabla1[[#This Row],[Fecha]],"MMMM")</f>
        <v>April</v>
      </c>
      <c r="L394" t="str">
        <f>TEXT(Tabla1[[#This Row],[Fecha]],"DD")</f>
        <v>24</v>
      </c>
      <c r="M394" t="str">
        <f>TEXT(Tabla1[[#This Row],[Fecha]],"yyyy")</f>
        <v>2025</v>
      </c>
      <c r="N394">
        <f>MONTH(Tabla1[[#This Row],[Fecha]])</f>
        <v>4</v>
      </c>
      <c r="O394" s="2" t="str">
        <f t="shared" si="13"/>
        <v>T2-25</v>
      </c>
    </row>
    <row r="395" spans="1:15" x14ac:dyDescent="0.25">
      <c r="A395" s="8">
        <v>394</v>
      </c>
      <c r="B395" t="s">
        <v>373</v>
      </c>
      <c r="C395" t="s">
        <v>46</v>
      </c>
      <c r="D395" t="s">
        <v>38</v>
      </c>
      <c r="E395" t="s">
        <v>41</v>
      </c>
      <c r="F395" t="s">
        <v>18</v>
      </c>
      <c r="G395" t="s">
        <v>24</v>
      </c>
      <c r="H395">
        <v>9</v>
      </c>
      <c r="I395" s="2">
        <v>792</v>
      </c>
      <c r="J395">
        <f t="shared" si="12"/>
        <v>7128</v>
      </c>
      <c r="K395" t="str">
        <f>TEXT(Tabla1[[#This Row],[Fecha]],"MMMM")</f>
        <v>June</v>
      </c>
      <c r="L395" t="str">
        <f>TEXT(Tabla1[[#This Row],[Fecha]],"DD")</f>
        <v>18</v>
      </c>
      <c r="M395" t="str">
        <f>TEXT(Tabla1[[#This Row],[Fecha]],"yyyy")</f>
        <v>2023</v>
      </c>
      <c r="N395">
        <f>MONTH(Tabla1[[#This Row],[Fecha]])</f>
        <v>6</v>
      </c>
      <c r="O395" s="2" t="str">
        <f t="shared" si="13"/>
        <v>T2-23</v>
      </c>
    </row>
    <row r="396" spans="1:15" x14ac:dyDescent="0.25">
      <c r="A396" s="8">
        <v>395</v>
      </c>
      <c r="B396" t="s">
        <v>281</v>
      </c>
      <c r="C396" t="s">
        <v>20</v>
      </c>
      <c r="D396" t="s">
        <v>21</v>
      </c>
      <c r="E396" t="s">
        <v>58</v>
      </c>
      <c r="F396" t="s">
        <v>13</v>
      </c>
      <c r="G396" t="s">
        <v>24</v>
      </c>
      <c r="H396">
        <v>3</v>
      </c>
      <c r="I396" s="2">
        <v>1283</v>
      </c>
      <c r="J396">
        <f t="shared" si="12"/>
        <v>3849</v>
      </c>
      <c r="K396" t="str">
        <f>TEXT(Tabla1[[#This Row],[Fecha]],"MMMM")</f>
        <v>February</v>
      </c>
      <c r="L396" t="str">
        <f>TEXT(Tabla1[[#This Row],[Fecha]],"DD")</f>
        <v>23</v>
      </c>
      <c r="M396" t="str">
        <f>TEXT(Tabla1[[#This Row],[Fecha]],"yyyy")</f>
        <v>2023</v>
      </c>
      <c r="N396">
        <f>MONTH(Tabla1[[#This Row],[Fecha]])</f>
        <v>2</v>
      </c>
      <c r="O396" s="2" t="str">
        <f t="shared" si="13"/>
        <v>T1-23</v>
      </c>
    </row>
    <row r="397" spans="1:15" x14ac:dyDescent="0.25">
      <c r="A397" s="8">
        <v>396</v>
      </c>
      <c r="B397" t="s">
        <v>270</v>
      </c>
      <c r="C397" t="s">
        <v>16</v>
      </c>
      <c r="D397" t="s">
        <v>17</v>
      </c>
      <c r="E397" t="s">
        <v>12</v>
      </c>
      <c r="F397" t="s">
        <v>33</v>
      </c>
      <c r="G397" t="s">
        <v>14</v>
      </c>
      <c r="H397">
        <v>20</v>
      </c>
      <c r="I397" s="2">
        <v>3869</v>
      </c>
      <c r="J397">
        <f t="shared" si="12"/>
        <v>77380</v>
      </c>
      <c r="K397" t="str">
        <f>TEXT(Tabla1[[#This Row],[Fecha]],"MMMM")</f>
        <v>February</v>
      </c>
      <c r="L397" t="str">
        <f>TEXT(Tabla1[[#This Row],[Fecha]],"DD")</f>
        <v>21</v>
      </c>
      <c r="M397" t="str">
        <f>TEXT(Tabla1[[#This Row],[Fecha]],"yyyy")</f>
        <v>2024</v>
      </c>
      <c r="N397">
        <f>MONTH(Tabla1[[#This Row],[Fecha]])</f>
        <v>2</v>
      </c>
      <c r="O397" s="2" t="str">
        <f t="shared" si="13"/>
        <v>T1-24</v>
      </c>
    </row>
    <row r="398" spans="1:15" x14ac:dyDescent="0.25">
      <c r="A398" s="8">
        <v>397</v>
      </c>
      <c r="B398" t="s">
        <v>374</v>
      </c>
      <c r="C398" t="s">
        <v>37</v>
      </c>
      <c r="D398" t="s">
        <v>38</v>
      </c>
      <c r="E398" t="s">
        <v>58</v>
      </c>
      <c r="F398" t="s">
        <v>42</v>
      </c>
      <c r="G398" t="s">
        <v>14</v>
      </c>
      <c r="H398">
        <v>14</v>
      </c>
      <c r="I398" s="2">
        <v>4435</v>
      </c>
      <c r="J398">
        <f t="shared" si="12"/>
        <v>62090</v>
      </c>
      <c r="K398" t="str">
        <f>TEXT(Tabla1[[#This Row],[Fecha]],"MMMM")</f>
        <v>March</v>
      </c>
      <c r="L398" t="str">
        <f>TEXT(Tabla1[[#This Row],[Fecha]],"DD")</f>
        <v>11</v>
      </c>
      <c r="M398" t="str">
        <f>TEXT(Tabla1[[#This Row],[Fecha]],"yyyy")</f>
        <v>2025</v>
      </c>
      <c r="N398">
        <f>MONTH(Tabla1[[#This Row],[Fecha]])</f>
        <v>3</v>
      </c>
      <c r="O398" s="2" t="str">
        <f t="shared" si="13"/>
        <v>T1-25</v>
      </c>
    </row>
    <row r="399" spans="1:15" x14ac:dyDescent="0.25">
      <c r="A399" s="8">
        <v>398</v>
      </c>
      <c r="B399" t="s">
        <v>263</v>
      </c>
      <c r="C399" t="s">
        <v>16</v>
      </c>
      <c r="D399" t="s">
        <v>17</v>
      </c>
      <c r="E399" t="s">
        <v>61</v>
      </c>
      <c r="F399" t="s">
        <v>35</v>
      </c>
      <c r="G399" t="s">
        <v>24</v>
      </c>
      <c r="H399">
        <v>18</v>
      </c>
      <c r="I399" s="2">
        <v>3388</v>
      </c>
      <c r="J399">
        <f t="shared" si="12"/>
        <v>60984</v>
      </c>
      <c r="K399" t="str">
        <f>TEXT(Tabla1[[#This Row],[Fecha]],"MMMM")</f>
        <v>July</v>
      </c>
      <c r="L399" t="str">
        <f>TEXT(Tabla1[[#This Row],[Fecha]],"DD")</f>
        <v>27</v>
      </c>
      <c r="M399" t="str">
        <f>TEXT(Tabla1[[#This Row],[Fecha]],"yyyy")</f>
        <v>2025</v>
      </c>
      <c r="N399">
        <f>MONTH(Tabla1[[#This Row],[Fecha]])</f>
        <v>7</v>
      </c>
      <c r="O399" s="2" t="str">
        <f t="shared" si="13"/>
        <v>T3-25</v>
      </c>
    </row>
    <row r="400" spans="1:15" x14ac:dyDescent="0.25">
      <c r="A400" s="8">
        <v>399</v>
      </c>
      <c r="B400" t="s">
        <v>375</v>
      </c>
      <c r="C400" t="s">
        <v>37</v>
      </c>
      <c r="D400" t="s">
        <v>38</v>
      </c>
      <c r="E400" t="s">
        <v>61</v>
      </c>
      <c r="F400" t="s">
        <v>28</v>
      </c>
      <c r="G400" t="s">
        <v>24</v>
      </c>
      <c r="H400">
        <v>16</v>
      </c>
      <c r="I400" s="2">
        <v>187</v>
      </c>
      <c r="J400">
        <f t="shared" si="12"/>
        <v>2992</v>
      </c>
      <c r="K400" t="str">
        <f>TEXT(Tabla1[[#This Row],[Fecha]],"MMMM")</f>
        <v>April</v>
      </c>
      <c r="L400" t="str">
        <f>TEXT(Tabla1[[#This Row],[Fecha]],"DD")</f>
        <v>26</v>
      </c>
      <c r="M400" t="str">
        <f>TEXT(Tabla1[[#This Row],[Fecha]],"yyyy")</f>
        <v>2023</v>
      </c>
      <c r="N400">
        <f>MONTH(Tabla1[[#This Row],[Fecha]])</f>
        <v>4</v>
      </c>
      <c r="O400" s="2" t="str">
        <f t="shared" si="13"/>
        <v>T2-23</v>
      </c>
    </row>
    <row r="401" spans="1:15" x14ac:dyDescent="0.25">
      <c r="A401" s="8">
        <v>400</v>
      </c>
      <c r="B401" t="s">
        <v>376</v>
      </c>
      <c r="C401" t="s">
        <v>69</v>
      </c>
      <c r="D401" t="s">
        <v>17</v>
      </c>
      <c r="E401" t="s">
        <v>22</v>
      </c>
      <c r="F401" t="s">
        <v>42</v>
      </c>
      <c r="G401" t="s">
        <v>14</v>
      </c>
      <c r="H401">
        <v>2</v>
      </c>
      <c r="I401" s="2">
        <v>1298</v>
      </c>
      <c r="J401">
        <f t="shared" si="12"/>
        <v>2596</v>
      </c>
      <c r="K401" t="str">
        <f>TEXT(Tabla1[[#This Row],[Fecha]],"MMMM")</f>
        <v>May</v>
      </c>
      <c r="L401" t="str">
        <f>TEXT(Tabla1[[#This Row],[Fecha]],"DD")</f>
        <v>27</v>
      </c>
      <c r="M401" t="str">
        <f>TEXT(Tabla1[[#This Row],[Fecha]],"yyyy")</f>
        <v>2024</v>
      </c>
      <c r="N401">
        <f>MONTH(Tabla1[[#This Row],[Fecha]])</f>
        <v>5</v>
      </c>
      <c r="O401" s="2" t="str">
        <f t="shared" si="13"/>
        <v>T2-24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D2A5-B834-4BD1-836A-48C8147ADDB8}">
  <dimension ref="B4:K57"/>
  <sheetViews>
    <sheetView workbookViewId="0">
      <selection activeCell="I4" sqref="I4"/>
    </sheetView>
  </sheetViews>
  <sheetFormatPr baseColWidth="10" defaultRowHeight="15" x14ac:dyDescent="0.25"/>
  <cols>
    <col min="2" max="3" width="17.5703125" bestFit="1" customWidth="1"/>
    <col min="4" max="4" width="19.28515625" bestFit="1" customWidth="1"/>
    <col min="5" max="5" width="17.5703125" bestFit="1" customWidth="1"/>
    <col min="6" max="6" width="19.5703125" bestFit="1" customWidth="1"/>
    <col min="7" max="7" width="16.7109375" bestFit="1" customWidth="1"/>
    <col min="8" max="8" width="17.5703125" bestFit="1" customWidth="1"/>
    <col min="9" max="9" width="22.85546875" bestFit="1" customWidth="1"/>
    <col min="10" max="10" width="17.5703125" bestFit="1" customWidth="1"/>
    <col min="11" max="11" width="19.28515625" bestFit="1" customWidth="1"/>
    <col min="12" max="17" width="22.42578125" bestFit="1" customWidth="1"/>
    <col min="18" max="18" width="12.5703125" bestFit="1" customWidth="1"/>
  </cols>
  <sheetData>
    <row r="4" spans="2:11" x14ac:dyDescent="0.25">
      <c r="B4" s="3" t="s">
        <v>382</v>
      </c>
      <c r="C4" s="5" t="s">
        <v>377</v>
      </c>
      <c r="E4" s="3" t="s">
        <v>382</v>
      </c>
      <c r="F4" s="5" t="s">
        <v>388</v>
      </c>
      <c r="J4" s="3" t="s">
        <v>382</v>
      </c>
      <c r="K4" t="s">
        <v>377</v>
      </c>
    </row>
    <row r="5" spans="2:11" x14ac:dyDescent="0.25">
      <c r="B5" s="4" t="s">
        <v>385</v>
      </c>
      <c r="C5" s="37">
        <v>4502363</v>
      </c>
      <c r="E5" s="4" t="s">
        <v>37</v>
      </c>
      <c r="F5" s="2">
        <v>39</v>
      </c>
      <c r="J5" s="4" t="s">
        <v>28</v>
      </c>
      <c r="K5" s="37">
        <v>2110135</v>
      </c>
    </row>
    <row r="6" spans="2:11" x14ac:dyDescent="0.25">
      <c r="B6" s="4" t="s">
        <v>384</v>
      </c>
      <c r="C6" s="37">
        <v>3869552</v>
      </c>
      <c r="E6" s="4" t="s">
        <v>16</v>
      </c>
      <c r="F6" s="2">
        <v>40</v>
      </c>
      <c r="J6" s="4" t="s">
        <v>33</v>
      </c>
      <c r="K6" s="37">
        <v>1783681</v>
      </c>
    </row>
    <row r="7" spans="2:11" x14ac:dyDescent="0.25">
      <c r="B7" s="4" t="s">
        <v>386</v>
      </c>
      <c r="C7" s="37">
        <v>4233217</v>
      </c>
      <c r="E7" s="4" t="s">
        <v>30</v>
      </c>
      <c r="F7" s="2">
        <v>47</v>
      </c>
      <c r="J7" s="4" t="s">
        <v>23</v>
      </c>
      <c r="K7" s="37">
        <v>1493602</v>
      </c>
    </row>
    <row r="8" spans="2:11" x14ac:dyDescent="0.25">
      <c r="B8" s="4" t="s">
        <v>383</v>
      </c>
      <c r="C8" s="37">
        <v>12605132</v>
      </c>
      <c r="E8" s="4" t="s">
        <v>20</v>
      </c>
      <c r="F8" s="2">
        <v>48</v>
      </c>
      <c r="J8" s="4" t="s">
        <v>13</v>
      </c>
      <c r="K8" s="37">
        <v>1207317</v>
      </c>
    </row>
    <row r="9" spans="2:11" x14ac:dyDescent="0.25">
      <c r="E9" s="4" t="s">
        <v>10</v>
      </c>
      <c r="F9" s="2">
        <v>56</v>
      </c>
      <c r="J9" s="4" t="s">
        <v>18</v>
      </c>
      <c r="K9" s="37">
        <v>1723792</v>
      </c>
    </row>
    <row r="10" spans="2:11" x14ac:dyDescent="0.25">
      <c r="E10" s="4" t="s">
        <v>383</v>
      </c>
      <c r="F10" s="6">
        <v>230</v>
      </c>
      <c r="J10" s="4" t="s">
        <v>42</v>
      </c>
      <c r="K10" s="37">
        <v>2308762</v>
      </c>
    </row>
    <row r="11" spans="2:11" x14ac:dyDescent="0.25">
      <c r="J11" s="4" t="s">
        <v>35</v>
      </c>
      <c r="K11" s="37">
        <v>1977843</v>
      </c>
    </row>
    <row r="12" spans="2:11" x14ac:dyDescent="0.25">
      <c r="J12" s="4" t="s">
        <v>383</v>
      </c>
      <c r="K12" s="37">
        <v>12605132</v>
      </c>
    </row>
    <row r="20" spans="5:10" ht="18" x14ac:dyDescent="0.25">
      <c r="E20" s="3" t="s">
        <v>382</v>
      </c>
      <c r="F20" s="5" t="s">
        <v>388</v>
      </c>
      <c r="J20" s="40" t="s">
        <v>396</v>
      </c>
    </row>
    <row r="21" spans="5:10" x14ac:dyDescent="0.25">
      <c r="E21" s="4" t="s">
        <v>66</v>
      </c>
      <c r="F21" s="6">
        <v>31</v>
      </c>
      <c r="I21" t="s">
        <v>397</v>
      </c>
      <c r="J21" s="5">
        <f>GETPIVOTDATA("Total Venta",$B$4)/GETPIVOTDATA("ID Venta",$E$20)</f>
        <v>31512.83</v>
      </c>
    </row>
    <row r="22" spans="5:10" x14ac:dyDescent="0.25">
      <c r="E22" s="4" t="s">
        <v>46</v>
      </c>
      <c r="F22" s="6">
        <v>31</v>
      </c>
      <c r="I22" t="s">
        <v>398</v>
      </c>
      <c r="J22">
        <f>COUNTA(_xlfn.UNIQUE(Tabla1[Producto]))</f>
        <v>10</v>
      </c>
    </row>
    <row r="23" spans="5:10" x14ac:dyDescent="0.25">
      <c r="E23" s="4" t="s">
        <v>49</v>
      </c>
      <c r="F23" s="6">
        <v>33</v>
      </c>
      <c r="I23" t="s">
        <v>411</v>
      </c>
      <c r="J23" s="8">
        <f>COUNTA(_xlfn.UNIQUE(Tabla1[[#All],[ID Venta]]))-1</f>
        <v>400</v>
      </c>
    </row>
    <row r="24" spans="5:10" x14ac:dyDescent="0.25">
      <c r="E24" s="4" t="s">
        <v>69</v>
      </c>
      <c r="F24" s="6">
        <v>37</v>
      </c>
      <c r="I24" t="s">
        <v>399</v>
      </c>
      <c r="J24">
        <f>SUMIF(Tabla1[Año],2023,Tabla1[Total Venta])</f>
        <v>4502363</v>
      </c>
    </row>
    <row r="25" spans="5:10" x14ac:dyDescent="0.25">
      <c r="E25" s="4" t="s">
        <v>26</v>
      </c>
      <c r="F25" s="6">
        <v>38</v>
      </c>
      <c r="I25" t="s">
        <v>400</v>
      </c>
      <c r="J25">
        <f>SUMIF(Tabla1[Año],2024,Tabla1[Total Venta])</f>
        <v>3869552</v>
      </c>
    </row>
    <row r="26" spans="5:10" x14ac:dyDescent="0.25">
      <c r="E26" s="4" t="s">
        <v>37</v>
      </c>
      <c r="F26" s="6">
        <v>39</v>
      </c>
      <c r="I26" t="s">
        <v>401</v>
      </c>
      <c r="J26">
        <f>SUMIF(Tabla1[Año],2025,Tabla1[Total Venta])</f>
        <v>4233217</v>
      </c>
    </row>
    <row r="27" spans="5:10" x14ac:dyDescent="0.25">
      <c r="E27" s="4" t="s">
        <v>16</v>
      </c>
      <c r="F27" s="6">
        <v>40</v>
      </c>
    </row>
    <row r="28" spans="5:10" x14ac:dyDescent="0.25">
      <c r="E28" s="4" t="s">
        <v>30</v>
      </c>
      <c r="F28" s="6">
        <v>47</v>
      </c>
      <c r="I28" t="s">
        <v>383</v>
      </c>
      <c r="J28">
        <f>SUM(J24:J26)</f>
        <v>12605132</v>
      </c>
    </row>
    <row r="29" spans="5:10" x14ac:dyDescent="0.25">
      <c r="E29" s="4" t="s">
        <v>20</v>
      </c>
      <c r="F29" s="6">
        <v>48</v>
      </c>
    </row>
    <row r="30" spans="5:10" x14ac:dyDescent="0.25">
      <c r="E30" s="4" t="s">
        <v>10</v>
      </c>
      <c r="F30" s="6">
        <v>56</v>
      </c>
      <c r="I30" t="s">
        <v>402</v>
      </c>
      <c r="J30">
        <f>(J25-J24)/J24</f>
        <v>-0.14055086184743434</v>
      </c>
    </row>
    <row r="31" spans="5:10" x14ac:dyDescent="0.25">
      <c r="E31" s="4" t="s">
        <v>383</v>
      </c>
      <c r="F31" s="6">
        <v>400</v>
      </c>
      <c r="I31" t="s">
        <v>403</v>
      </c>
      <c r="J31">
        <f>(J26-J25)/J25</f>
        <v>9.3981163710941215E-2</v>
      </c>
    </row>
    <row r="33" spans="3:10" x14ac:dyDescent="0.25">
      <c r="I33" t="s">
        <v>404</v>
      </c>
      <c r="J33">
        <f>COUNTIFS(Tabla1[ID Venta], "&lt;&gt;"&amp;"",Tabla1[Año],2024)</f>
        <v>118</v>
      </c>
    </row>
    <row r="34" spans="3:10" x14ac:dyDescent="0.25">
      <c r="I34" t="s">
        <v>405</v>
      </c>
      <c r="J34">
        <f>COUNTIFS(Tabla1[ID Venta], "&lt;&gt;"&amp;"",Tabla1[Año],2025)</f>
        <v>142</v>
      </c>
    </row>
    <row r="35" spans="3:10" x14ac:dyDescent="0.25">
      <c r="J35">
        <f>(J34-J33)/J33</f>
        <v>0.20338983050847459</v>
      </c>
    </row>
    <row r="38" spans="3:10" x14ac:dyDescent="0.25">
      <c r="I38" t="s">
        <v>407</v>
      </c>
      <c r="J38">
        <f>J25/J33</f>
        <v>32792.813559322036</v>
      </c>
    </row>
    <row r="39" spans="3:10" x14ac:dyDescent="0.25">
      <c r="I39" t="s">
        <v>408</v>
      </c>
      <c r="J39">
        <f>J26/J34</f>
        <v>29811.387323943662</v>
      </c>
    </row>
    <row r="40" spans="3:10" x14ac:dyDescent="0.25">
      <c r="I40" t="s">
        <v>406</v>
      </c>
      <c r="J40">
        <f>J28/GETPIVOTDATA("ID Venta",$E$20)</f>
        <v>31512.83</v>
      </c>
    </row>
    <row r="41" spans="3:10" x14ac:dyDescent="0.25">
      <c r="J41">
        <f>(J39-J38)/J38</f>
        <v>-9.0917061141612299E-2</v>
      </c>
    </row>
    <row r="43" spans="3:10" x14ac:dyDescent="0.25">
      <c r="I43" t="s">
        <v>409</v>
      </c>
      <c r="J43" t="str" cm="1">
        <f t="array" ref="J43">INDEX(Tabla1[Producto],MATCH(MAX(COUNTIF(Tabla1[Producto],Tabla1[Producto])),COUNTIF(Tabla1[Producto],Tabla1[Producto]),0))</f>
        <v>Celular</v>
      </c>
    </row>
    <row r="44" spans="3:10" x14ac:dyDescent="0.25">
      <c r="C44" s="3" t="s">
        <v>382</v>
      </c>
      <c r="D44" t="s">
        <v>377</v>
      </c>
      <c r="I44" t="s">
        <v>410</v>
      </c>
      <c r="J44" cm="1">
        <f t="array" ref="J44">MAX(COUNTIF(Tabla1[Producto],Tabla1[Producto]))</f>
        <v>56</v>
      </c>
    </row>
    <row r="45" spans="3:10" x14ac:dyDescent="0.25">
      <c r="C45" s="4" t="s">
        <v>418</v>
      </c>
      <c r="D45" s="37">
        <v>1006238</v>
      </c>
    </row>
    <row r="46" spans="3:10" x14ac:dyDescent="0.25">
      <c r="C46" s="4" t="s">
        <v>419</v>
      </c>
      <c r="D46" s="37">
        <v>1024795</v>
      </c>
      <c r="I46" t="s">
        <v>413</v>
      </c>
      <c r="J46">
        <f>SUMIF(Tabla1[Canal],"Tienda Física",Tabla1[Total Venta])</f>
        <v>5901672</v>
      </c>
    </row>
    <row r="47" spans="3:10" x14ac:dyDescent="0.25">
      <c r="C47" s="4" t="s">
        <v>420</v>
      </c>
      <c r="D47" s="37">
        <v>1092261</v>
      </c>
      <c r="I47" t="s">
        <v>412</v>
      </c>
      <c r="J47">
        <f>SUMIF(Tabla1[Canal],"Online",Tabla1[Total Venta])</f>
        <v>6703460</v>
      </c>
    </row>
    <row r="48" spans="3:10" x14ac:dyDescent="0.25">
      <c r="C48" s="4" t="s">
        <v>421</v>
      </c>
      <c r="D48" s="37">
        <v>1186006</v>
      </c>
      <c r="J48">
        <f>J46/J28</f>
        <v>0.46819596970503757</v>
      </c>
    </row>
    <row r="49" spans="3:11" x14ac:dyDescent="0.25">
      <c r="C49" s="4" t="s">
        <v>422</v>
      </c>
      <c r="D49" s="37">
        <v>805668</v>
      </c>
      <c r="J49">
        <f>J47/J28</f>
        <v>0.53180403029496237</v>
      </c>
      <c r="K49" s="35"/>
    </row>
    <row r="50" spans="3:11" x14ac:dyDescent="0.25">
      <c r="C50" s="4" t="s">
        <v>423</v>
      </c>
      <c r="D50" s="37">
        <v>925111</v>
      </c>
    </row>
    <row r="51" spans="3:11" x14ac:dyDescent="0.25">
      <c r="C51" s="4" t="s">
        <v>424</v>
      </c>
      <c r="D51" s="37">
        <v>1067991</v>
      </c>
    </row>
    <row r="52" spans="3:11" x14ac:dyDescent="0.25">
      <c r="C52" s="4" t="s">
        <v>425</v>
      </c>
      <c r="D52" s="37">
        <v>1067946</v>
      </c>
    </row>
    <row r="53" spans="3:11" x14ac:dyDescent="0.25">
      <c r="C53" s="4" t="s">
        <v>426</v>
      </c>
      <c r="D53" s="37">
        <v>1062105</v>
      </c>
    </row>
    <row r="54" spans="3:11" x14ac:dyDescent="0.25">
      <c r="C54" s="4" t="s">
        <v>427</v>
      </c>
      <c r="D54" s="37">
        <v>1242128</v>
      </c>
    </row>
    <row r="55" spans="3:11" x14ac:dyDescent="0.25">
      <c r="C55" s="4" t="s">
        <v>428</v>
      </c>
      <c r="D55" s="37">
        <v>971143</v>
      </c>
    </row>
    <row r="56" spans="3:11" x14ac:dyDescent="0.25">
      <c r="C56" s="4" t="s">
        <v>429</v>
      </c>
      <c r="D56" s="37">
        <v>1153740</v>
      </c>
    </row>
    <row r="57" spans="3:11" x14ac:dyDescent="0.25">
      <c r="C57" s="4" t="s">
        <v>383</v>
      </c>
      <c r="D57" s="37">
        <v>12605132</v>
      </c>
    </row>
  </sheetData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E293-5D47-4E37-A5FF-0E064991BAEA}">
  <dimension ref="J2:BL32"/>
  <sheetViews>
    <sheetView showGridLines="0" zoomScale="64" zoomScaleNormal="64" workbookViewId="0">
      <selection activeCell="BW22" sqref="BW22"/>
    </sheetView>
  </sheetViews>
  <sheetFormatPr baseColWidth="10" defaultRowHeight="18" customHeight="1" x14ac:dyDescent="0.25"/>
  <cols>
    <col min="1" max="22" width="3.7109375" customWidth="1"/>
    <col min="23" max="23" width="4" customWidth="1"/>
    <col min="24" max="24" width="6.140625" customWidth="1"/>
    <col min="25" max="29" width="3.7109375" customWidth="1"/>
    <col min="30" max="30" width="9.28515625" customWidth="1"/>
    <col min="31" max="36" width="3.7109375" customWidth="1"/>
    <col min="37" max="37" width="5.140625" customWidth="1"/>
    <col min="38" max="38" width="3.42578125" customWidth="1"/>
    <col min="39" max="46" width="3.7109375" customWidth="1"/>
    <col min="47" max="47" width="8.7109375" customWidth="1"/>
    <col min="48" max="57" width="3.7109375" customWidth="1"/>
    <col min="58" max="58" width="2.5703125" customWidth="1"/>
    <col min="59" max="63" width="3.7109375" customWidth="1"/>
    <col min="64" max="64" width="7.28515625" customWidth="1"/>
    <col min="65" max="79" width="3.7109375" customWidth="1"/>
  </cols>
  <sheetData>
    <row r="2" spans="10:64" ht="18" customHeight="1" x14ac:dyDescent="0.25">
      <c r="K2" s="53" t="s">
        <v>430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</row>
    <row r="3" spans="10:64" ht="18" customHeight="1" x14ac:dyDescent="0.25"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0:64" ht="18" customHeight="1" x14ac:dyDescent="0.25"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</row>
    <row r="5" spans="10:64" ht="18" customHeight="1" x14ac:dyDescent="0.25">
      <c r="K5" s="54" t="s">
        <v>389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</row>
    <row r="6" spans="10:64" ht="18" customHeight="1" x14ac:dyDescent="0.25"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</row>
    <row r="7" spans="10:64" ht="18" customHeight="1" thickBot="1" x14ac:dyDescent="0.3">
      <c r="K7" s="10"/>
      <c r="L7" s="10"/>
      <c r="M7" s="10"/>
      <c r="N7" s="10"/>
      <c r="O7" s="10"/>
      <c r="P7" s="10"/>
      <c r="AB7" s="17"/>
      <c r="AC7" s="17"/>
      <c r="AD7" s="17"/>
      <c r="AE7" s="17"/>
      <c r="AF7" s="17"/>
      <c r="AG7" s="17"/>
      <c r="AP7" s="23"/>
      <c r="AQ7" s="23"/>
      <c r="AR7" s="23"/>
      <c r="AS7" s="23"/>
      <c r="AT7" s="23"/>
      <c r="AU7" s="23"/>
      <c r="BG7" s="34"/>
      <c r="BH7" s="34"/>
      <c r="BI7" s="34"/>
      <c r="BJ7" s="34"/>
      <c r="BK7" s="34"/>
      <c r="BL7" s="34"/>
    </row>
    <row r="8" spans="10:64" ht="18" customHeight="1" thickTop="1" x14ac:dyDescent="0.25">
      <c r="K8" s="41" t="s">
        <v>390</v>
      </c>
      <c r="L8" s="42"/>
      <c r="M8" s="42"/>
      <c r="N8" s="42"/>
      <c r="O8" s="42"/>
      <c r="P8" s="43"/>
      <c r="AB8" s="44" t="s">
        <v>391</v>
      </c>
      <c r="AC8" s="45"/>
      <c r="AD8" s="45"/>
      <c r="AE8" s="45"/>
      <c r="AF8" s="45"/>
      <c r="AG8" s="46"/>
      <c r="AP8" s="47" t="s">
        <v>392</v>
      </c>
      <c r="AQ8" s="48"/>
      <c r="AR8" s="48"/>
      <c r="AS8" s="48"/>
      <c r="AT8" s="48"/>
      <c r="AU8" s="49"/>
      <c r="BG8" s="50" t="s">
        <v>393</v>
      </c>
      <c r="BH8" s="51"/>
      <c r="BI8" s="51"/>
      <c r="BJ8" s="51"/>
      <c r="BK8" s="51"/>
      <c r="BL8" s="52"/>
    </row>
    <row r="9" spans="10:64" ht="18" customHeight="1" x14ac:dyDescent="0.25">
      <c r="J9" s="9"/>
      <c r="L9" s="12"/>
      <c r="M9" s="12"/>
      <c r="N9" s="12"/>
      <c r="O9" s="12"/>
      <c r="P9" s="13"/>
      <c r="AB9" s="18"/>
      <c r="AC9" s="11"/>
      <c r="AD9" s="11"/>
      <c r="AE9" s="11"/>
      <c r="AF9" s="11"/>
      <c r="AG9" s="19"/>
      <c r="AP9" s="24"/>
      <c r="AQ9" s="11"/>
      <c r="AR9" s="11"/>
      <c r="AS9" s="11"/>
      <c r="AT9" s="11"/>
      <c r="AU9" s="25"/>
      <c r="BG9" s="29"/>
      <c r="BH9" s="11"/>
      <c r="BI9" s="11"/>
      <c r="BJ9" s="11"/>
      <c r="BK9" s="11"/>
      <c r="BL9" s="30"/>
    </row>
    <row r="10" spans="10:64" ht="18" customHeight="1" x14ac:dyDescent="0.25">
      <c r="K10" s="64">
        <f>GETPIVOTDATA("Total Venta",'Tablas Dinamicas'!$B$4)</f>
        <v>12605132</v>
      </c>
      <c r="L10" s="65"/>
      <c r="M10" s="65"/>
      <c r="N10" s="65"/>
      <c r="O10" s="65"/>
      <c r="P10" s="66"/>
      <c r="AB10" s="55">
        <f>GETPIVOTDATA("ID Venta",'Tablas Dinamicas'!$E$20)</f>
        <v>400</v>
      </c>
      <c r="AC10" s="56"/>
      <c r="AD10" s="56"/>
      <c r="AE10" s="56"/>
      <c r="AF10" s="56"/>
      <c r="AG10" s="57"/>
      <c r="AP10" s="58">
        <f>'Tablas Dinamicas'!J21</f>
        <v>31512.83</v>
      </c>
      <c r="AQ10" s="59"/>
      <c r="AR10" s="59"/>
      <c r="AS10" s="59"/>
      <c r="AT10" s="59"/>
      <c r="AU10" s="60"/>
      <c r="BG10" s="61">
        <f>'Tablas Dinamicas'!J22</f>
        <v>10</v>
      </c>
      <c r="BH10" s="62"/>
      <c r="BI10" s="62"/>
      <c r="BJ10" s="62"/>
      <c r="BK10" s="62"/>
      <c r="BL10" s="63"/>
    </row>
    <row r="11" spans="10:64" ht="18" customHeight="1" x14ac:dyDescent="0.25">
      <c r="K11" s="64"/>
      <c r="L11" s="65"/>
      <c r="M11" s="65"/>
      <c r="N11" s="65"/>
      <c r="O11" s="65"/>
      <c r="P11" s="66"/>
      <c r="AB11" s="55"/>
      <c r="AC11" s="56"/>
      <c r="AD11" s="56"/>
      <c r="AE11" s="56"/>
      <c r="AF11" s="56"/>
      <c r="AG11" s="57"/>
      <c r="AP11" s="58"/>
      <c r="AQ11" s="59"/>
      <c r="AR11" s="59"/>
      <c r="AS11" s="59"/>
      <c r="AT11" s="59"/>
      <c r="AU11" s="60"/>
      <c r="BG11" s="61"/>
      <c r="BH11" s="62"/>
      <c r="BI11" s="62"/>
      <c r="BJ11" s="62"/>
      <c r="BK11" s="62"/>
      <c r="BL11" s="63"/>
    </row>
    <row r="12" spans="10:64" ht="18" customHeight="1" x14ac:dyDescent="0.25">
      <c r="K12" s="64"/>
      <c r="L12" s="65"/>
      <c r="M12" s="65"/>
      <c r="N12" s="65"/>
      <c r="O12" s="65"/>
      <c r="P12" s="66"/>
      <c r="AB12" s="55"/>
      <c r="AC12" s="56"/>
      <c r="AD12" s="56"/>
      <c r="AE12" s="56"/>
      <c r="AF12" s="56"/>
      <c r="AG12" s="57"/>
      <c r="AP12" s="58"/>
      <c r="AQ12" s="59"/>
      <c r="AR12" s="59"/>
      <c r="AS12" s="59"/>
      <c r="AT12" s="59"/>
      <c r="AU12" s="60"/>
      <c r="BG12" s="61"/>
      <c r="BH12" s="62"/>
      <c r="BI12" s="62"/>
      <c r="BJ12" s="62"/>
      <c r="BK12" s="62"/>
      <c r="BL12" s="63"/>
    </row>
    <row r="13" spans="10:64" ht="18" customHeight="1" x14ac:dyDescent="0.25">
      <c r="K13" s="68" t="str">
        <f>IF('Tablas Dinamicas'!J31&gt;0,"↑ ","↓ ")&amp;TEXT(ABS('Tablas Dinamicas'!J31),"0.0%")&amp;" vs 2024"</f>
        <v>↑ 9.4% vs 2024</v>
      </c>
      <c r="L13" s="69"/>
      <c r="M13" s="69"/>
      <c r="N13" s="69"/>
      <c r="O13" s="69"/>
      <c r="P13" s="70"/>
      <c r="AB13" s="71" t="str">
        <f>IF('Tablas Dinamicas'!J35&gt;0,"↑ ","↓ ")&amp;TEXT(ABS('Tablas Dinamicas'!J35),"0.0%")&amp;" vs 2024"</f>
        <v>↑ 20.3% vs 2024</v>
      </c>
      <c r="AC13" s="72"/>
      <c r="AD13" s="72"/>
      <c r="AE13" s="72"/>
      <c r="AF13" s="72"/>
      <c r="AG13" s="73"/>
      <c r="AP13" s="74" t="str">
        <f>IF('Tablas Dinamicas'!J41&gt;0,"↑ ","↓ ")&amp;TEXT(ABS('Tablas Dinamicas'!J41),"0.0%")&amp;" vs 2024"</f>
        <v>↓ 9.1% vs 2024</v>
      </c>
      <c r="AQ13" s="75"/>
      <c r="AR13" s="75"/>
      <c r="AS13" s="75"/>
      <c r="AT13" s="75"/>
      <c r="AU13" s="76"/>
      <c r="BG13" s="77" t="str">
        <f>"Top: "&amp;'Tablas Dinamicas'!J43&amp;" ("&amp;'Tablas Dinamicas'!J44&amp;")"</f>
        <v>Top: Celular (56)</v>
      </c>
      <c r="BH13" s="78"/>
      <c r="BI13" s="78"/>
      <c r="BJ13" s="78"/>
      <c r="BK13" s="78"/>
      <c r="BL13" s="79"/>
    </row>
    <row r="14" spans="10:64" ht="18" customHeight="1" x14ac:dyDescent="0.25">
      <c r="K14" s="14"/>
      <c r="L14" s="15"/>
      <c r="M14" s="15"/>
      <c r="N14" s="15"/>
      <c r="O14" s="15"/>
      <c r="P14" s="16"/>
      <c r="AB14" s="20"/>
      <c r="AC14" s="21"/>
      <c r="AD14" s="21"/>
      <c r="AE14" s="21"/>
      <c r="AF14" s="21"/>
      <c r="AG14" s="22"/>
      <c r="AP14" s="26"/>
      <c r="AQ14" s="27"/>
      <c r="AR14" s="27"/>
      <c r="AS14" s="27"/>
      <c r="AT14" s="27"/>
      <c r="AU14" s="28"/>
      <c r="BG14" s="31"/>
      <c r="BH14" s="32"/>
      <c r="BI14" s="32"/>
      <c r="BJ14" s="32"/>
      <c r="BK14" s="32"/>
      <c r="BL14" s="33"/>
    </row>
    <row r="16" spans="10:64" ht="18" customHeight="1" x14ac:dyDescent="0.25">
      <c r="K16" s="67" t="s">
        <v>394</v>
      </c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</row>
    <row r="17" spans="10:40" ht="30" customHeight="1" x14ac:dyDescent="0.25">
      <c r="J17" s="30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8"/>
    </row>
    <row r="18" spans="10:40" ht="18" customHeight="1" x14ac:dyDescent="0.25">
      <c r="J18" s="30"/>
      <c r="K18" s="11"/>
      <c r="L18" s="39" t="str">
        <f>'Tablas Dinamicas'!J43&amp;" lidera con "&amp;'Tablas Dinamicas'!J44&amp;" ventas ("&amp;TEXT('Tablas Dinamicas'!J44/'Tablas Dinamicas'!J23,"0%")&amp;" del total)"</f>
        <v>Celular lidera con 56 ventas (14% del total)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30"/>
    </row>
    <row r="19" spans="10:40" ht="18" customHeight="1" x14ac:dyDescent="0.25">
      <c r="J19" s="30"/>
      <c r="K19" s="11"/>
      <c r="L19" s="39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30"/>
    </row>
    <row r="20" spans="10:40" ht="18" customHeight="1" x14ac:dyDescent="0.25">
      <c r="J20" s="30"/>
      <c r="K20" s="11"/>
      <c r="L20" s="39" t="str">
        <f>"Tienda Online genera "&amp;TEXT('Tablas Dinamicas'!J49,"0%")&amp;" vs tienda Física "&amp;TEXT('Tablas Dinamicas'!J48,"0%")</f>
        <v>Tienda Online genera 53% vs tienda Física 47%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30"/>
      <c r="AF20" s="24"/>
    </row>
    <row r="21" spans="10:40" ht="18" customHeight="1" x14ac:dyDescent="0.25">
      <c r="J21" s="30"/>
      <c r="K21" s="11"/>
      <c r="L21" s="39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30"/>
    </row>
    <row r="22" spans="10:40" ht="18" customHeight="1" x14ac:dyDescent="0.25">
      <c r="J22" s="30"/>
      <c r="K22" s="11"/>
      <c r="L22" s="39" t="s">
        <v>395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30"/>
    </row>
    <row r="23" spans="10:40" ht="18" customHeight="1" x14ac:dyDescent="0.25">
      <c r="J23" s="30"/>
      <c r="K23" s="11"/>
      <c r="L23" s="39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30"/>
    </row>
    <row r="24" spans="10:40" ht="18" customHeight="1" x14ac:dyDescent="0.25">
      <c r="J24" s="30"/>
      <c r="K24" s="11"/>
      <c r="L24" s="39" t="s">
        <v>414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30"/>
    </row>
    <row r="25" spans="10:40" ht="18" customHeight="1" x14ac:dyDescent="0.25">
      <c r="J25" s="30"/>
      <c r="K25" s="11"/>
      <c r="L25" s="39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30"/>
    </row>
    <row r="26" spans="10:40" ht="18" customHeight="1" x14ac:dyDescent="0.25">
      <c r="J26" s="30"/>
      <c r="K26" s="11"/>
      <c r="L26" s="39" t="s">
        <v>415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30"/>
    </row>
    <row r="27" spans="10:40" ht="18" customHeight="1" x14ac:dyDescent="0.25">
      <c r="J27" s="30"/>
      <c r="K27" s="11"/>
      <c r="L27" s="39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30"/>
    </row>
    <row r="28" spans="10:40" ht="18" customHeight="1" x14ac:dyDescent="0.25">
      <c r="J28" s="30"/>
      <c r="K28" s="11"/>
      <c r="L28" s="39" t="s">
        <v>416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30"/>
    </row>
    <row r="29" spans="10:40" ht="18" customHeight="1" x14ac:dyDescent="0.25">
      <c r="J29" s="3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30"/>
    </row>
    <row r="30" spans="10:40" ht="18" customHeight="1" x14ac:dyDescent="0.25">
      <c r="J30" s="30"/>
      <c r="K30" s="31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3"/>
    </row>
    <row r="32" spans="10:40" ht="18" customHeight="1" x14ac:dyDescent="0.25">
      <c r="AN32" s="35"/>
    </row>
  </sheetData>
  <mergeCells count="15">
    <mergeCell ref="K10:P12"/>
    <mergeCell ref="K13:P13"/>
    <mergeCell ref="K16:X16"/>
    <mergeCell ref="AB10:AG12"/>
    <mergeCell ref="AP10:AU12"/>
    <mergeCell ref="BG10:BL12"/>
    <mergeCell ref="AB13:AG13"/>
    <mergeCell ref="AP13:AU13"/>
    <mergeCell ref="BG13:BL13"/>
    <mergeCell ref="K8:P8"/>
    <mergeCell ref="AB8:AG8"/>
    <mergeCell ref="AP8:AU8"/>
    <mergeCell ref="BG8:BL8"/>
    <mergeCell ref="K2:BL4"/>
    <mergeCell ref="K5:BL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Tablas 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2025-09-20T22:14:08Z</dcterms:created>
  <dcterms:modified xsi:type="dcterms:W3CDTF">2025-11-03T05:08:53Z</dcterms:modified>
</cp:coreProperties>
</file>